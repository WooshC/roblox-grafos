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TPC\Downloads\"/>
    </mc:Choice>
  </mc:AlternateContent>
  <xr:revisionPtr revIDLastSave="3" documentId="13_ncr:1_{7875B25A-62DC-46F4-8DA5-FF4BA3A15105}" xr6:coauthVersionLast="47" xr6:coauthVersionMax="47" xr10:uidLastSave="{3584A713-40A3-4D1D-A0E5-E1CF3D9DBD34}"/>
  <bookViews>
    <workbookView xWindow="-108" yWindow="-108" windowWidth="23256" windowHeight="12456" firstSheet="2" activeTab="2" xr2:uid="{00000000-000D-0000-FFFF-FFFF00000000}"/>
  </bookViews>
  <sheets>
    <sheet name="Revisón propósitos " sheetId="1" r:id="rId1"/>
    <sheet name="Revisión Gameplay " sheetId="3" r:id="rId2"/>
    <sheet name="revisión historias usuario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P17" i="1"/>
  <c r="P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11" i="1"/>
  <c r="P12" i="1"/>
  <c r="P13" i="1"/>
  <c r="P14" i="1"/>
  <c r="P15" i="1"/>
  <c r="P16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10" i="1"/>
</calcChain>
</file>

<file path=xl/sharedStrings.xml><?xml version="1.0" encoding="utf-8"?>
<sst xmlns="http://schemas.openxmlformats.org/spreadsheetml/2006/main" count="698" uniqueCount="680">
  <si>
    <t>pasa=1</t>
  </si>
  <si>
    <t xml:space="preserve">MODICABLE </t>
  </si>
  <si>
    <t>no pasa=0</t>
  </si>
  <si>
    <t>si no pasa no es REALIZABLE</t>
  </si>
  <si>
    <t>Revisión de Propósitos, ideas post-it naranja</t>
  </si>
  <si>
    <t xml:space="preserve">si es si la respuesta se puede detallar </t>
  </si>
  <si>
    <t>OJO CAMBIE</t>
  </si>
  <si>
    <t>OBLIGATORIOS ACEPTABLES</t>
  </si>
  <si>
    <r>
      <t xml:space="preserve">                                                                                             </t>
    </r>
    <r>
      <rPr>
        <sz val="11"/>
        <color theme="0"/>
        <rFont val="Calibri"/>
        <family val="2"/>
      </rPr>
      <t>__________________</t>
    </r>
    <r>
      <rPr>
        <sz val="11"/>
        <color rgb="FF000000"/>
        <rFont val="Calibri"/>
        <family val="2"/>
      </rPr>
      <t xml:space="preserve"> </t>
    </r>
    <r>
      <rPr>
        <b/>
        <sz val="16"/>
        <color rgb="FF000000"/>
        <rFont val="Calibri"/>
        <family val="2"/>
      </rPr>
      <t>Preguntas/</t>
    </r>
    <r>
      <rPr>
        <b/>
        <sz val="16"/>
        <rFont val="Calibri"/>
        <family val="2"/>
      </rPr>
      <t>Propósitos (BRAINSTORMING)</t>
    </r>
  </si>
  <si>
    <r>
      <t xml:space="preserve">¿Los requerimientos están claros, no existe </t>
    </r>
    <r>
      <rPr>
        <b/>
        <sz val="16"/>
        <color rgb="FF000000"/>
        <rFont val="Calibri"/>
        <family val="2"/>
      </rPr>
      <t>ambiguedad?</t>
    </r>
  </si>
  <si>
    <r>
      <rPr>
        <sz val="11"/>
        <color rgb="FF000000"/>
        <rFont val="Calibri"/>
      </rPr>
      <t xml:space="preserve">¿El  requerimiento es </t>
    </r>
    <r>
      <rPr>
        <b/>
        <sz val="12"/>
        <color rgb="FF000000"/>
        <rFont val="Calibri"/>
      </rPr>
      <t>factible</t>
    </r>
    <r>
      <rPr>
        <sz val="11"/>
        <color rgb="FF000000"/>
        <rFont val="Calibri"/>
      </rPr>
      <t>, es decir es realizable  a pesar de las limitaciones del sistema ( ejemplo por costo, horario, y por parte técnica) con riesgo aceptable?   ¿El requerimiento tienen alguna restricción técnica?</t>
    </r>
  </si>
  <si>
    <r>
      <t xml:space="preserve">El requerimiento  es </t>
    </r>
    <r>
      <rPr>
        <b/>
        <sz val="14"/>
        <color rgb="FF000000"/>
        <rFont val="Calibri"/>
        <family val="2"/>
      </rPr>
      <t>correcto</t>
    </r>
    <r>
      <rPr>
        <sz val="11"/>
        <color rgb="FF000000"/>
        <rFont val="Calibri"/>
        <family val="2"/>
      </rPr>
      <t xml:space="preserve"> representa la necesidad real que el  cliente necesita. ?</t>
    </r>
  </si>
  <si>
    <r>
      <t xml:space="preserve">¿El requerimiento es </t>
    </r>
    <r>
      <rPr>
        <b/>
        <sz val="12"/>
        <color rgb="FF000000"/>
        <rFont val="Calibri"/>
        <family val="2"/>
      </rPr>
      <t>apropiado</t>
    </r>
    <r>
      <rPr>
        <sz val="11"/>
        <color rgb="FF000000"/>
        <rFont val="Calibri"/>
        <family val="2"/>
      </rPr>
      <t xml:space="preserve">  está dentro del alcance del proyecto refleja la necesidad real?</t>
    </r>
  </si>
  <si>
    <r>
      <t xml:space="preserve">¿El requerimiento es </t>
    </r>
    <r>
      <rPr>
        <b/>
        <sz val="14"/>
        <color rgb="FF000000"/>
        <rFont val="Calibri"/>
        <family val="2"/>
      </rPr>
      <t>verificable</t>
    </r>
    <r>
      <rPr>
        <sz val="11"/>
        <color rgb="FF000000"/>
        <rFont val="Calibri"/>
        <family val="2"/>
      </rPr>
      <t xml:space="preserve"> mediante un caso de prueba?</t>
    </r>
  </si>
  <si>
    <r>
      <t xml:space="preserve">¿El requerimiento esta </t>
    </r>
    <r>
      <rPr>
        <b/>
        <sz val="12"/>
        <color rgb="FF000000"/>
        <rFont val="Calibri"/>
        <family val="2"/>
      </rPr>
      <t xml:space="preserve">completo </t>
    </r>
    <r>
      <rPr>
        <sz val="11"/>
        <color rgb="FF000000"/>
        <rFont val="Calibri"/>
        <family val="2"/>
      </rPr>
      <t>describe la necesidad del  cliente  sin necesidad de ampliarle?</t>
    </r>
  </si>
  <si>
    <r>
      <t xml:space="preserve">¿El requerimiento es </t>
    </r>
    <r>
      <rPr>
        <b/>
        <sz val="14"/>
        <color rgb="FF000000"/>
        <rFont val="Calibri"/>
        <family val="2"/>
      </rPr>
      <t>necesario,</t>
    </r>
    <r>
      <rPr>
        <sz val="11"/>
        <color rgb="FF000000"/>
        <rFont val="Calibri"/>
        <family val="2"/>
      </rPr>
      <t xml:space="preserve"> sino se incluye como requisito existirá alguna deficiencia, para otros requerimientos?</t>
    </r>
  </si>
  <si>
    <r>
      <t xml:space="preserve">¿El requerimiento establece una sola característica, es </t>
    </r>
    <r>
      <rPr>
        <b/>
        <sz val="14"/>
        <color rgb="FF000000"/>
        <rFont val="Calibri"/>
        <family val="2"/>
      </rPr>
      <t xml:space="preserve">singular, </t>
    </r>
    <r>
      <rPr>
        <sz val="11"/>
        <color rgb="FF000000"/>
        <rFont val="Calibri"/>
        <family val="2"/>
      </rPr>
      <t>o  puede descomponerse en varios?</t>
    </r>
  </si>
  <si>
    <r>
      <t xml:space="preserve">El requerimiento esta </t>
    </r>
    <r>
      <rPr>
        <b/>
        <sz val="14"/>
        <color rgb="FF000000"/>
        <rFont val="Calibri"/>
        <family val="2"/>
      </rPr>
      <t xml:space="preserve">conforme </t>
    </r>
    <r>
      <rPr>
        <sz val="11"/>
        <color rgb="FF000000"/>
        <rFont val="Calibri"/>
        <family val="2"/>
      </rPr>
      <t>al estandar de la organización?</t>
    </r>
  </si>
  <si>
    <r>
      <rPr>
        <sz val="11"/>
        <color rgb="FF000000"/>
        <rFont val="Calibri"/>
      </rPr>
      <t xml:space="preserve">¿El requerimiento es </t>
    </r>
    <r>
      <rPr>
        <b/>
        <sz val="14"/>
        <color rgb="FF000000"/>
        <rFont val="Calibri"/>
      </rPr>
      <t>consistente</t>
    </r>
    <r>
      <rPr>
        <sz val="11"/>
        <color rgb="FF000000"/>
        <rFont val="Calibri"/>
      </rPr>
      <t xml:space="preserve"> no contradice a  otros requerimientos ?</t>
    </r>
  </si>
  <si>
    <r>
      <t xml:space="preserve">¿El requerimiento   puede ser </t>
    </r>
    <r>
      <rPr>
        <b/>
        <sz val="16"/>
        <rFont val="Calibri"/>
        <family val="2"/>
      </rPr>
      <t xml:space="preserve">modificable </t>
    </r>
    <r>
      <rPr>
        <sz val="11"/>
        <rFont val="Calibri"/>
        <family val="2"/>
      </rPr>
      <t>sin alterar su estructura, estilo  o alcance del producto?</t>
    </r>
  </si>
  <si>
    <t>El requerimiento es esencial, condicional, u optativo</t>
  </si>
  <si>
    <r>
      <t xml:space="preserve">El requerimiento tiene una </t>
    </r>
    <r>
      <rPr>
        <b/>
        <sz val="18"/>
        <color rgb="FF000000"/>
        <rFont val="Calibri"/>
        <family val="2"/>
      </rPr>
      <t>trazabilidad</t>
    </r>
    <r>
      <rPr>
        <sz val="11"/>
        <color rgb="FF000000"/>
        <rFont val="Calibri"/>
        <family val="2"/>
      </rPr>
      <t xml:space="preserve"> original que mantiene la necesidad del cliente?</t>
    </r>
  </si>
  <si>
    <t>Total</t>
  </si>
  <si>
    <t>H1 01</t>
  </si>
  <si>
    <t>Juego interactivo</t>
  </si>
  <si>
    <t>escencial</t>
  </si>
  <si>
    <t>H1 02</t>
  </si>
  <si>
    <t>Arreglos, listas, Pilas, colas, recursividad</t>
  </si>
  <si>
    <t>optatito</t>
  </si>
  <si>
    <t>H1 03</t>
  </si>
  <si>
    <t>Manera didáctica de aprender, gráfica</t>
  </si>
  <si>
    <t>condicional</t>
  </si>
  <si>
    <t>H1 04</t>
  </si>
  <si>
    <t>situaciones de la vida real</t>
  </si>
  <si>
    <t>H1 05</t>
  </si>
  <si>
    <t>que permitan a través de ejemplos analogías ver su utilidad</t>
  </si>
  <si>
    <t>H1 06</t>
  </si>
  <si>
    <t>Dibuja con una tablet hace esquemas para explicar</t>
  </si>
  <si>
    <t>H1 07</t>
  </si>
  <si>
    <t>Herramienta de apoyo, aprender de manera divertida</t>
  </si>
  <si>
    <t>H1 08</t>
  </si>
  <si>
    <t>cuenta usuario y misiones cumplidas</t>
  </si>
  <si>
    <t>H1 09</t>
  </si>
  <si>
    <t>requerimientos de conceptos de base</t>
  </si>
  <si>
    <t>H1 10</t>
  </si>
  <si>
    <t>personas que quieren aprender sobre programación estructuras</t>
  </si>
  <si>
    <t>H1 11</t>
  </si>
  <si>
    <t>multiplataforma</t>
  </si>
  <si>
    <t>H1 12</t>
  </si>
  <si>
    <t>admin de cuentas</t>
  </si>
  <si>
    <t>H1 13</t>
  </si>
  <si>
    <t>Referencia libros estructuras joyanes</t>
  </si>
  <si>
    <t>H1 14</t>
  </si>
  <si>
    <t>Individual y competencias colaborativo</t>
  </si>
  <si>
    <t>H1 15</t>
  </si>
  <si>
    <t>analogías, ejemplos prácticos reales</t>
  </si>
  <si>
    <t>H1 16</t>
  </si>
  <si>
    <t>Dibujando se puede entender los conceptos</t>
  </si>
  <si>
    <t>H1 17</t>
  </si>
  <si>
    <t>Facilitar comprensión teórica y práctica</t>
  </si>
  <si>
    <t>H1 18</t>
  </si>
  <si>
    <t>Capacidad visoespacial</t>
  </si>
  <si>
    <t>H1 19</t>
  </si>
  <si>
    <t>H1 20</t>
  </si>
  <si>
    <t>parametrizable</t>
  </si>
  <si>
    <t>H1 21</t>
  </si>
  <si>
    <t>Que permita animar, ver el resultado del ejercicio</t>
  </si>
  <si>
    <t>H1 22</t>
  </si>
  <si>
    <t>Para tener un feedback inmediato...</t>
  </si>
  <si>
    <t>H1 23</t>
  </si>
  <si>
    <t>Dirigido a estudiantes de programación estructuras de datos</t>
  </si>
  <si>
    <t>H1 24</t>
  </si>
  <si>
    <t>tutorial</t>
  </si>
  <si>
    <t>H1 25</t>
  </si>
  <si>
    <t>juego</t>
  </si>
  <si>
    <t>H1 26</t>
  </si>
  <si>
    <t>apoyo visual</t>
  </si>
  <si>
    <t>H1 27</t>
  </si>
  <si>
    <t>retroalimentación inmediata</t>
  </si>
  <si>
    <t>H1 28</t>
  </si>
  <si>
    <t>Asociar a una situación de la vida real</t>
  </si>
  <si>
    <t>H1 29</t>
  </si>
  <si>
    <t>Desarrollar el Pensamiento lógico, computacional</t>
  </si>
  <si>
    <t>H1 30</t>
  </si>
  <si>
    <t>ejemplos prácticos</t>
  </si>
  <si>
    <t>H1 31</t>
  </si>
  <si>
    <t>estilo unificado</t>
  </si>
  <si>
    <t>H2 01</t>
  </si>
  <si>
    <t>pensamiento creativo desarrollarlo</t>
  </si>
  <si>
    <t>H2 02</t>
  </si>
  <si>
    <t>aprendan de forma diferente los estudiantes de 17 a 22 años</t>
  </si>
  <si>
    <t>H2 03</t>
  </si>
  <si>
    <t>estudiantes de carreras en donde se vee la parte de algoritmos</t>
  </si>
  <si>
    <t>H2 04</t>
  </si>
  <si>
    <t>desarrollo de pensamiento visio espacia</t>
  </si>
  <si>
    <t>H2 05</t>
  </si>
  <si>
    <t>puedes ser multijugador</t>
  </si>
  <si>
    <t>H2 06</t>
  </si>
  <si>
    <t>estudiantes de 17 a 22 años sin discapacidad</t>
  </si>
  <si>
    <t>H2 07</t>
  </si>
  <si>
    <t>ejemplos o representacio nesg ráficas comprender los temas</t>
  </si>
  <si>
    <t>H2 08</t>
  </si>
  <si>
    <t>aplicación desplegada en web</t>
  </si>
  <si>
    <t>H2 09</t>
  </si>
  <si>
    <t>asociar el juego a una actividad práctica en la vida real para que se note</t>
  </si>
  <si>
    <t>H2 10</t>
  </si>
  <si>
    <t>puede ser en 3d más motivante y enganchante por la parte gráfica</t>
  </si>
  <si>
    <t>H2 11</t>
  </si>
  <si>
    <t>conceptos dificil, son abstractos pero se puede entender cuando se dibuja</t>
  </si>
  <si>
    <t>H2 12</t>
  </si>
  <si>
    <t>Al enseñar actualmente se usa de manera gráfica</t>
  </si>
  <si>
    <t>H2 13</t>
  </si>
  <si>
    <t>con ayuda lúdica ver cada reto o misión quizá en parejas</t>
  </si>
  <si>
    <t>H2 14</t>
  </si>
  <si>
    <t>trabajando en forma colaborativo, ver si se puede</t>
  </si>
  <si>
    <t>H2 15</t>
  </si>
  <si>
    <t>siempre ver el feedback</t>
  </si>
  <si>
    <t>H2 16</t>
  </si>
  <si>
    <t>orientado a estudiantes de la materia de eda y algoritmos de carreras de ingeniería software, computación y afines</t>
  </si>
  <si>
    <t>H2 17</t>
  </si>
  <si>
    <t>que se utilice en pc,</t>
  </si>
  <si>
    <t>H2 18</t>
  </si>
  <si>
    <t>para estudiantes que puedan aplicar estos temas</t>
  </si>
  <si>
    <t>H2 19</t>
  </si>
  <si>
    <t>diferentes niveles de conceptos de eda puede ser temas básicos y luego un poco más complejos</t>
  </si>
  <si>
    <t>H2 20</t>
  </si>
  <si>
    <t>orientado a estudiantes de computación</t>
  </si>
  <si>
    <t>H2 21</t>
  </si>
  <si>
    <t>Todos mantengamos un mismo estilo para la parte gráfica</t>
  </si>
  <si>
    <t>H2 22</t>
  </si>
  <si>
    <t>despliegue de juego en web</t>
  </si>
  <si>
    <t>H2 23</t>
  </si>
  <si>
    <t>se guarden los datos del jugador como puntos, premios, además que se guarden el progreso de cada concepto</t>
  </si>
  <si>
    <t>H2 24</t>
  </si>
  <si>
    <t>existan misiones y retos que permitan comprender cada característica del concepto</t>
  </si>
  <si>
    <t>H3 01</t>
  </si>
  <si>
    <t>Temas que se enseñan</t>
  </si>
  <si>
    <t>H3 02</t>
  </si>
  <si>
    <t>Adaptarse a la enseñanza del profesor</t>
  </si>
  <si>
    <t>H3 03</t>
  </si>
  <si>
    <t>Explicar de manera gráfica / visual los contenidos</t>
  </si>
  <si>
    <t>H3 04</t>
  </si>
  <si>
    <t>Analogías, ejemplos que faciliten comprensión</t>
  </si>
  <si>
    <t>H3 05</t>
  </si>
  <si>
    <t>Herramienta parametrizable</t>
  </si>
  <si>
    <t>H3 06</t>
  </si>
  <si>
    <t>Eficiencia del método</t>
  </si>
  <si>
    <t>H3 07</t>
  </si>
  <si>
    <t>Estudiantes universitarios 2do o 3ro</t>
  </si>
  <si>
    <t>H3 08</t>
  </si>
  <si>
    <t>Lógica &gt; Programación</t>
  </si>
  <si>
    <t>H3 09</t>
  </si>
  <si>
    <t>Punteros</t>
  </si>
  <si>
    <t>H3 10</t>
  </si>
  <si>
    <t>Depurar ambigüedades de manera correcta</t>
  </si>
  <si>
    <t>H3 11</t>
  </si>
  <si>
    <t>Que se vea la lógica interna (variables auxiliares, movimientos, etc)</t>
  </si>
  <si>
    <t>H3 12</t>
  </si>
  <si>
    <t>Tomar en cuenta conocimientos previos</t>
  </si>
  <si>
    <t>H3 13</t>
  </si>
  <si>
    <t>Pensamiento lógico computacional</t>
  </si>
  <si>
    <t>H3 14</t>
  </si>
  <si>
    <t>Aprendizaje autónomo</t>
  </si>
  <si>
    <t>H3 15</t>
  </si>
  <si>
    <t>Individual y colaborativo (lo que permita el alcance)</t>
  </si>
  <si>
    <t>H3 16</t>
  </si>
  <si>
    <t>Universitarios o preuniversitarios</t>
  </si>
  <si>
    <t>H3 17</t>
  </si>
  <si>
    <t>Nivel básico (que no sabe nada) y nivel avanzado (gente que ya sabe algo)</t>
  </si>
  <si>
    <t>H3 18</t>
  </si>
  <si>
    <t>Pseudo código traducido que se traduce a código</t>
  </si>
  <si>
    <t>H3 19</t>
  </si>
  <si>
    <t>Herramienta didáctica que complemente la teoría</t>
  </si>
  <si>
    <t>H3 20</t>
  </si>
  <si>
    <t>Entender el desafío lógicamente</t>
  </si>
  <si>
    <t>H3 21</t>
  </si>
  <si>
    <t>Afirmar el concepto</t>
  </si>
  <si>
    <t>H3 22</t>
  </si>
  <si>
    <t>Web para PC principalmente</t>
  </si>
  <si>
    <t>H3 23</t>
  </si>
  <si>
    <t>No hay referencia</t>
  </si>
  <si>
    <t>H3 24</t>
  </si>
  <si>
    <t>Acompañamiento del docente únicamente (estudiante)</t>
  </si>
  <si>
    <t>H3 25</t>
  </si>
  <si>
    <t>Aprender de manera divertida</t>
  </si>
  <si>
    <t>H3 26</t>
  </si>
  <si>
    <t>Comprender libro base</t>
  </si>
  <si>
    <t>H3 27</t>
  </si>
  <si>
    <t>Feedback inmediato</t>
  </si>
  <si>
    <t>H3 28</t>
  </si>
  <si>
    <t>Comparación concepto con ejemplo práctico</t>
  </si>
  <si>
    <t>H3 29</t>
  </si>
  <si>
    <t>3D, más enganche y llamativo.</t>
  </si>
  <si>
    <t>H3 30</t>
  </si>
  <si>
    <t>Proyecto unificado. (Misma línea gráfica, menú común, nivel para cada tema)</t>
  </si>
  <si>
    <t>H3 31</t>
  </si>
  <si>
    <t>Puntos conseguidos por concepto, tiempo, logros, niveles</t>
  </si>
  <si>
    <t>H3 32</t>
  </si>
  <si>
    <t>No orientado a personas con discapacidad</t>
  </si>
  <si>
    <t>H3 33</t>
  </si>
  <si>
    <t>Si es 2D, hacerlo más creativo</t>
  </si>
  <si>
    <t>H3 34</t>
  </si>
  <si>
    <t>Proyectar idea antes de 2D o 3D</t>
  </si>
  <si>
    <t>H3 35</t>
  </si>
  <si>
    <t>Aplicaciones reales</t>
  </si>
  <si>
    <t>H3 36</t>
  </si>
  <si>
    <t>¿Quién parametriza? Jugador o administrador?</t>
  </si>
  <si>
    <t>H4 01</t>
  </si>
  <si>
    <t>Se necesita comprender la temática (es el objetivo principal)</t>
  </si>
  <si>
    <t>H4 02</t>
  </si>
  <si>
    <t>Herramienta didáctica de apoyo</t>
  </si>
  <si>
    <t>H4 03</t>
  </si>
  <si>
    <t>Tener módulos enfocados a distintos niveles de conocimiento previo</t>
  </si>
  <si>
    <t>H4 04</t>
  </si>
  <si>
    <t>Juego interactivo complementario a la clase teórica</t>
  </si>
  <si>
    <t>H4 05</t>
  </si>
  <si>
    <t>Variables auxiliares</t>
  </si>
  <si>
    <t>H4 06</t>
  </si>
  <si>
    <t>Necesitamos desarrollar una forma de pensar enfocada a la solución de problemas</t>
  </si>
  <si>
    <t>H4 07</t>
  </si>
  <si>
    <t>Implementar la enseñanza a través de situaciones más estimulantes</t>
  </si>
  <si>
    <t>H4 08</t>
  </si>
  <si>
    <t>Razonamiento gráfico de conceptos abstractos</t>
  </si>
  <si>
    <t>H4 09</t>
  </si>
  <si>
    <t>Introducir dificultad variable</t>
  </si>
  <si>
    <t>H4 10</t>
  </si>
  <si>
    <t>Visualizar gráficamente los límites en cada situación de la EDA</t>
  </si>
  <si>
    <t>H4 11</t>
  </si>
  <si>
    <t>Analizar las particularidades de cada EDA</t>
  </si>
  <si>
    <t>H4 12</t>
  </si>
  <si>
    <t>Entender gráficamente el funcionamiento de las EDA's</t>
  </si>
  <si>
    <t>H4 13</t>
  </si>
  <si>
    <t>Desarrollar habilidades para identificar la mejor solución</t>
  </si>
  <si>
    <t>H4 14</t>
  </si>
  <si>
    <t>A través de analogías, metáforas facilitar la comprensión</t>
  </si>
  <si>
    <t>H4 15</t>
  </si>
  <si>
    <t>Demostrar la utilidad de las EDAS en la vida real</t>
  </si>
  <si>
    <t>H4 16</t>
  </si>
  <si>
    <t>Se debe permitir manipular las condiciones de la situación</t>
  </si>
  <si>
    <t>H4 17</t>
  </si>
  <si>
    <t>Permitir la capacidad de analizar los errores</t>
  </si>
  <si>
    <t>H4 18</t>
  </si>
  <si>
    <t>Permitir retroceder</t>
  </si>
  <si>
    <t>H4 19</t>
  </si>
  <si>
    <t>Planificar adecuadamente el alcance de colaboración</t>
  </si>
  <si>
    <t>H4 20</t>
  </si>
  <si>
    <t>Enfocado a los estudiantes de 2do, 3er semestre</t>
  </si>
  <si>
    <t>H4 21</t>
  </si>
  <si>
    <t>Menú común para empezar los "modos de juego"</t>
  </si>
  <si>
    <t>H4 22</t>
  </si>
  <si>
    <t>Evaluaciones por conceptos</t>
  </si>
  <si>
    <t>H4 23</t>
  </si>
  <si>
    <t>Separación de puntajes según los niveles de complejidad</t>
  </si>
  <si>
    <t>H4 24</t>
  </si>
  <si>
    <t>Conformar un solo estilo visual, línea gráfica</t>
  </si>
  <si>
    <t>H5 01</t>
  </si>
  <si>
    <t>Lógica para entender algoritmos sobre listas</t>
  </si>
  <si>
    <t>H5 02</t>
  </si>
  <si>
    <t>Cubrir todos los contenidos de EDA</t>
  </si>
  <si>
    <t>H5 03</t>
  </si>
  <si>
    <t>Herramienta gráfica para complementar la materia</t>
  </si>
  <si>
    <t>H5 04</t>
  </si>
  <si>
    <t>Explicar conceptos de manera gráfica</t>
  </si>
  <si>
    <t>H5 05</t>
  </si>
  <si>
    <t>Personas que posen accesibilidad a distintos dispositivos</t>
  </si>
  <si>
    <t>H5 06</t>
  </si>
  <si>
    <t>Personas que quieren aprender sobre EDA</t>
  </si>
  <si>
    <t>H5 07</t>
  </si>
  <si>
    <t>Estudiantes con conocimientos iniciales en programación</t>
  </si>
  <si>
    <t>H5 08</t>
  </si>
  <si>
    <t>Un juego de mario bros para rescatar a la princesa</t>
  </si>
  <si>
    <t>H5 09</t>
  </si>
  <si>
    <t>Videos</t>
  </si>
  <si>
    <t>H5 10</t>
  </si>
  <si>
    <t>Definir las caracteristicas del publico objetivo</t>
  </si>
  <si>
    <t>H5 11</t>
  </si>
  <si>
    <t>Todos trabajar en la misma plataforma</t>
  </si>
  <si>
    <t>H5 12</t>
  </si>
  <si>
    <t>Visualizar y comprender las temáticas del libro base</t>
  </si>
  <si>
    <t>H5 13</t>
  </si>
  <si>
    <t>Facilitar el aprendizaje a los estudiantes</t>
  </si>
  <si>
    <t>H5 14</t>
  </si>
  <si>
    <t>Los estudiantes puedan comprender los conceptos</t>
  </si>
  <si>
    <t>H5 15</t>
  </si>
  <si>
    <t>Facilitar la abstracción</t>
  </si>
  <si>
    <t>H5 16</t>
  </si>
  <si>
    <t>Primero de forma individual</t>
  </si>
  <si>
    <t>H5 17</t>
  </si>
  <si>
    <t>Buscar soluciones solo</t>
  </si>
  <si>
    <t>H5 18</t>
  </si>
  <si>
    <t>Colaborativa para facilitar el intercambio de ideas</t>
  </si>
  <si>
    <t>H5 19</t>
  </si>
  <si>
    <t>Fortalecer competencia transversales</t>
  </si>
  <si>
    <t>H5 20</t>
  </si>
  <si>
    <t>No requiere ayuda constante</t>
  </si>
  <si>
    <t>H5 21</t>
  </si>
  <si>
    <t>Puntajes</t>
  </si>
  <si>
    <t>H5 22</t>
  </si>
  <si>
    <t>Desarrollo de los estudiantes</t>
  </si>
  <si>
    <t>H5 23</t>
  </si>
  <si>
    <t>Desarrollo de habilidades como la creatividad</t>
  </si>
  <si>
    <t>H5 24</t>
  </si>
  <si>
    <t>Desarrollo del pensamiento</t>
  </si>
  <si>
    <t>H5 25</t>
  </si>
  <si>
    <t>Identificando soluciones algorítmitcas</t>
  </si>
  <si>
    <t>H5 26</t>
  </si>
  <si>
    <t>Los estudiantes puedan visualizar las estructuras</t>
  </si>
  <si>
    <t>H5 27</t>
  </si>
  <si>
    <t>No requieren ayuda adicional</t>
  </si>
  <si>
    <t>H5 28</t>
  </si>
  <si>
    <t>Solo con el tutor</t>
  </si>
  <si>
    <t>H5 29</t>
  </si>
  <si>
    <t>Acompañamiento con el docente</t>
  </si>
  <si>
    <t>H5 30</t>
  </si>
  <si>
    <t>Puntaje por nivel</t>
  </si>
  <si>
    <t>H5 31</t>
  </si>
  <si>
    <t>% avanzado</t>
  </si>
  <si>
    <t>H5 32</t>
  </si>
  <si>
    <t>Trabajo por niveles</t>
  </si>
  <si>
    <t>H5 33</t>
  </si>
  <si>
    <t>Establecer conceptos</t>
  </si>
  <si>
    <t>H5 34</t>
  </si>
  <si>
    <t>De manera Tradicional</t>
  </si>
  <si>
    <t>H5 35</t>
  </si>
  <si>
    <t>Explicaciones magistrales</t>
  </si>
  <si>
    <t>H5 36</t>
  </si>
  <si>
    <t>Resolución de ejercicios en clase</t>
  </si>
  <si>
    <t>H5 37</t>
  </si>
  <si>
    <t>Mostrar los ejercicios de manera visual</t>
  </si>
  <si>
    <t>H5 38</t>
  </si>
  <si>
    <t>Un juego de arboles</t>
  </si>
  <si>
    <t>H5 39</t>
  </si>
  <si>
    <t>H5 40</t>
  </si>
  <si>
    <t>Arboles</t>
  </si>
  <si>
    <t>H5 41</t>
  </si>
  <si>
    <t>Roblox</t>
  </si>
  <si>
    <t>H5 42</t>
  </si>
  <si>
    <t>Configurable</t>
  </si>
  <si>
    <t>H5 43</t>
  </si>
  <si>
    <t>Definir con claridad las ideas</t>
  </si>
  <si>
    <t>H5 44</t>
  </si>
  <si>
    <t>Definir logros y premios</t>
  </si>
  <si>
    <t>H5 45</t>
  </si>
  <si>
    <t>Herramienta de apoyo</t>
  </si>
  <si>
    <t>H5 46</t>
  </si>
  <si>
    <t>Trabajar la parte motivacional</t>
  </si>
  <si>
    <t>H5 47</t>
  </si>
  <si>
    <t>Mejorar la compresión</t>
  </si>
  <si>
    <t>H5 48</t>
  </si>
  <si>
    <t>Afianzar conceptos</t>
  </si>
  <si>
    <t>H5 49</t>
  </si>
  <si>
    <t>H5 50</t>
  </si>
  <si>
    <t>En laptops</t>
  </si>
  <si>
    <t>H5 51</t>
  </si>
  <si>
    <t>Tablets</t>
  </si>
  <si>
    <t>H5 52</t>
  </si>
  <si>
    <t>PC</t>
  </si>
  <si>
    <t>H5 53</t>
  </si>
  <si>
    <t>WEB</t>
  </si>
  <si>
    <t>H5 54</t>
  </si>
  <si>
    <t>Persoans de 17-25</t>
  </si>
  <si>
    <t>H5 55</t>
  </si>
  <si>
    <t>Cursan la materia de EDA</t>
  </si>
  <si>
    <t>H5 56</t>
  </si>
  <si>
    <t>Estudiante universitarios/colegio</t>
  </si>
  <si>
    <t>H5 57</t>
  </si>
  <si>
    <t>Computación , Software o carreas afines</t>
  </si>
  <si>
    <t>H5 58</t>
  </si>
  <si>
    <t>Estudiantes conocimientos previos sobre algoritmos</t>
  </si>
  <si>
    <t>H6 01</t>
  </si>
  <si>
    <t>Depurar ambigüedades</t>
  </si>
  <si>
    <t>H6 02</t>
  </si>
  <si>
    <t>H6 03</t>
  </si>
  <si>
    <t>Herramienta didáctica</t>
  </si>
  <si>
    <t>H6 04</t>
  </si>
  <si>
    <t>Impulsar comprensión teórica</t>
  </si>
  <si>
    <t>H6 05</t>
  </si>
  <si>
    <t>Tipos de datos</t>
  </si>
  <si>
    <t>H6 06</t>
  </si>
  <si>
    <t>Ver resultado de manera grafica</t>
  </si>
  <si>
    <t>H6 07</t>
  </si>
  <si>
    <t>Reto</t>
  </si>
  <si>
    <t>H6 08</t>
  </si>
  <si>
    <t>Cambiar la configuración en pantalla</t>
  </si>
  <si>
    <t>H6 09</t>
  </si>
  <si>
    <t>Juego 3D o 2D</t>
  </si>
  <si>
    <t>H6 10</t>
  </si>
  <si>
    <t>Desarrollar creatividad</t>
  </si>
  <si>
    <t>H6 11</t>
  </si>
  <si>
    <t>Explicar de manera grafica</t>
  </si>
  <si>
    <t>H6 12</t>
  </si>
  <si>
    <t>Conceptos y ejemplos</t>
  </si>
  <si>
    <t>H6 13</t>
  </si>
  <si>
    <t>Facilitar aprendizaje</t>
  </si>
  <si>
    <t>H6 14</t>
  </si>
  <si>
    <t>Orientación a objetos</t>
  </si>
  <si>
    <t>H6 15</t>
  </si>
  <si>
    <t>H6 16</t>
  </si>
  <si>
    <t>Conocimientos iniciales de programación</t>
  </si>
  <si>
    <t>H6 17</t>
  </si>
  <si>
    <t>Solo un rol (jugador)</t>
  </si>
  <si>
    <t>H6 18</t>
  </si>
  <si>
    <t>Un solo estilo grafico</t>
  </si>
  <si>
    <t>H6 19</t>
  </si>
  <si>
    <t>Ejemplos de como, donde se usan</t>
  </si>
  <si>
    <t>H6 20</t>
  </si>
  <si>
    <t>Pensamiento lógico</t>
  </si>
  <si>
    <t>H6 21</t>
  </si>
  <si>
    <t>Estudiantes que cursan la materia de EDA</t>
  </si>
  <si>
    <t>H6 22</t>
  </si>
  <si>
    <t>Soluciones algorítmicas</t>
  </si>
  <si>
    <t>H6 23</t>
  </si>
  <si>
    <t>Diseño de estructuras</t>
  </si>
  <si>
    <t>H6 24</t>
  </si>
  <si>
    <t>Como se mueven los componentes</t>
  </si>
  <si>
    <t>H6 25</t>
  </si>
  <si>
    <t>Pseudocódigo</t>
  </si>
  <si>
    <t>H6 26</t>
  </si>
  <si>
    <t>Logros, numero de intentos, puntos por niveles</t>
  </si>
  <si>
    <t>H6 27</t>
  </si>
  <si>
    <t>Quien jugo, puntos conseguidos.</t>
  </si>
  <si>
    <t>H6 28</t>
  </si>
  <si>
    <t>Inserción, recorrido, ordenamiento</t>
  </si>
  <si>
    <t>H6 29</t>
  </si>
  <si>
    <t>Variables auxiliares( tope)</t>
  </si>
  <si>
    <t>H6 30</t>
  </si>
  <si>
    <t>Dos módulos: Básico y Pro</t>
  </si>
  <si>
    <t>H6 31</t>
  </si>
  <si>
    <t>Problemas cotidianos</t>
  </si>
  <si>
    <t>H6 32</t>
  </si>
  <si>
    <t>Visualizar situación en la vida real</t>
  </si>
  <si>
    <t>H6 33</t>
  </si>
  <si>
    <t>Personajes</t>
  </si>
  <si>
    <t>H6 34</t>
  </si>
  <si>
    <t>Multiplataforma</t>
  </si>
  <si>
    <t>H6 35</t>
  </si>
  <si>
    <t>Recompensas</t>
  </si>
  <si>
    <t>H6 36</t>
  </si>
  <si>
    <t>Web - Pc - Tablet - Móvil</t>
  </si>
  <si>
    <t>H6 37</t>
  </si>
  <si>
    <t>Simulaciones con aspectos reales</t>
  </si>
  <si>
    <t>H6 38</t>
  </si>
  <si>
    <t>LIFO, FIFO</t>
  </si>
  <si>
    <t>H6 39</t>
  </si>
  <si>
    <t>Ingresar parámetros</t>
  </si>
  <si>
    <t>H6 40</t>
  </si>
  <si>
    <t>Nodos</t>
  </si>
  <si>
    <t>H6 41</t>
  </si>
  <si>
    <t>Cuando, como, para que sirven</t>
  </si>
  <si>
    <t>H6 42</t>
  </si>
  <si>
    <t>Tiempo</t>
  </si>
  <si>
    <t>H6 43</t>
  </si>
  <si>
    <t>Paso a paso el algoritmo</t>
  </si>
  <si>
    <t>H6 44</t>
  </si>
  <si>
    <t>Eficiencia</t>
  </si>
  <si>
    <t>H6 45</t>
  </si>
  <si>
    <t>Competencia</t>
  </si>
  <si>
    <t>H6 46</t>
  </si>
  <si>
    <t>Puntos</t>
  </si>
  <si>
    <t>H6 47</t>
  </si>
  <si>
    <t>Individual/Colaborativa</t>
  </si>
  <si>
    <t>H6 48</t>
  </si>
  <si>
    <t>Supervisión con el profesor</t>
  </si>
  <si>
    <t>H7 01</t>
  </si>
  <si>
    <t>Lenguajes de programación</t>
  </si>
  <si>
    <t>H7 02</t>
  </si>
  <si>
    <t>Desarrollar la creatividad</t>
  </si>
  <si>
    <t>H7 03</t>
  </si>
  <si>
    <t>Analogías o ejemplos</t>
  </si>
  <si>
    <t>H7 04</t>
  </si>
  <si>
    <t>Se hacía explicaciones con resolución de ejercicios</t>
  </si>
  <si>
    <t>H7 05</t>
  </si>
  <si>
    <t>Usaba tablets</t>
  </si>
  <si>
    <t>H7 06</t>
  </si>
  <si>
    <t>Estrucutras</t>
  </si>
  <si>
    <t>H7 07</t>
  </si>
  <si>
    <t>Usaba manera gráfica</t>
  </si>
  <si>
    <t>H7 08</t>
  </si>
  <si>
    <t>Complementar base teórica</t>
  </si>
  <si>
    <t>H7 09</t>
  </si>
  <si>
    <t>Depurar de manetras correcta las ambigüedades</t>
  </si>
  <si>
    <t>H7 10</t>
  </si>
  <si>
    <t>Rebobinar según cómo va trabajando</t>
  </si>
  <si>
    <t>H7 11</t>
  </si>
  <si>
    <t>Parametrizable</t>
  </si>
  <si>
    <t>H7 12</t>
  </si>
  <si>
    <t>Lógica interna</t>
  </si>
  <si>
    <t>H7 13</t>
  </si>
  <si>
    <t>H7 14</t>
  </si>
  <si>
    <t>Capacidad espacial</t>
  </si>
  <si>
    <t>H7 15</t>
  </si>
  <si>
    <t>Planeaba situaciones</t>
  </si>
  <si>
    <t>H7 16</t>
  </si>
  <si>
    <t>H7 17</t>
  </si>
  <si>
    <t>Usa variables auxiliares</t>
  </si>
  <si>
    <t>H7 18</t>
  </si>
  <si>
    <t>Usa preguntas para ver si aprendieron</t>
  </si>
  <si>
    <t>H7 19</t>
  </si>
  <si>
    <t>Manera gráfica</t>
  </si>
  <si>
    <t>H7 20</t>
  </si>
  <si>
    <t>Desafios</t>
  </si>
  <si>
    <t>H7 21</t>
  </si>
  <si>
    <t>Cruzan EDA y pertenecen</t>
  </si>
  <si>
    <t>H7 22</t>
  </si>
  <si>
    <t>Se puede los límites y elementos</t>
  </si>
  <si>
    <t>H7 23</t>
  </si>
  <si>
    <t>Objetos</t>
  </si>
  <si>
    <t>H7 24</t>
  </si>
  <si>
    <t>Usaba pseudocódigo y luego lo pasa a un IDE con térmios técnicos</t>
  </si>
  <si>
    <t>H7 25</t>
  </si>
  <si>
    <t>Usaba IA para pasar de pseudocódigo a IDE</t>
  </si>
  <si>
    <t>H7 26</t>
  </si>
  <si>
    <t>Lo quiere usar luego de sus clases</t>
  </si>
  <si>
    <t>H7 27</t>
  </si>
  <si>
    <t>Lo quiere usar para aprender de forma divertida pero que oriente a los estudiantes</t>
  </si>
  <si>
    <t>H7 28</t>
  </si>
  <si>
    <t>Requiere de feedback</t>
  </si>
  <si>
    <t>H7 29</t>
  </si>
  <si>
    <t>Respetar el ritmo de aprendizaje</t>
  </si>
  <si>
    <t>H7 30</t>
  </si>
  <si>
    <t>Facilitar el aprendizaje de los conceptos</t>
  </si>
  <si>
    <t>H7 31</t>
  </si>
  <si>
    <t>Hablidades transversales</t>
  </si>
  <si>
    <t>H7 32</t>
  </si>
  <si>
    <t>Nociones de algoritmos/ POO/ diseño de estructuras/ programación</t>
  </si>
  <si>
    <t>H7 33</t>
  </si>
  <si>
    <t>Complemento a la clase</t>
  </si>
  <si>
    <t>H7 34</t>
  </si>
  <si>
    <t>Fases de aprendizaje</t>
  </si>
  <si>
    <t>H7 35</t>
  </si>
  <si>
    <t>H7 36</t>
  </si>
  <si>
    <t>Toma de desiciones</t>
  </si>
  <si>
    <t>H7 37</t>
  </si>
  <si>
    <t>Aplicativo individual</t>
  </si>
  <si>
    <t>H7 38</t>
  </si>
  <si>
    <t>Logros y Retos</t>
  </si>
  <si>
    <t>H7 39</t>
  </si>
  <si>
    <t>H7 40</t>
  </si>
  <si>
    <t>H7 41</t>
  </si>
  <si>
    <t>Pensamiento lógico/computacional</t>
  </si>
  <si>
    <t>H7 42</t>
  </si>
  <si>
    <t>Tabla de puntuación</t>
  </si>
  <si>
    <t>H7 43</t>
  </si>
  <si>
    <t>Contendios prioritarios que se dan en clase</t>
  </si>
  <si>
    <t>H7 44</t>
  </si>
  <si>
    <t>Premios</t>
  </si>
  <si>
    <t>H7 45</t>
  </si>
  <si>
    <t>Listas</t>
  </si>
  <si>
    <t>H7 46</t>
  </si>
  <si>
    <t>Actividades guiadas</t>
  </si>
  <si>
    <t>H7 47</t>
  </si>
  <si>
    <t>No necesitan ayuda para conectarse</t>
  </si>
  <si>
    <t>H7 48</t>
  </si>
  <si>
    <t>Test de lo que sabía</t>
  </si>
  <si>
    <t>H7 49</t>
  </si>
  <si>
    <t>Ver cómo usar las estructuras a la vida práctica</t>
  </si>
  <si>
    <t>H7 50</t>
  </si>
  <si>
    <t>Competencia entre compañeros</t>
  </si>
  <si>
    <t>H7 51</t>
  </si>
  <si>
    <t>Perfil académico, estudiantes de ingeniería</t>
  </si>
  <si>
    <t>H7 52</t>
  </si>
  <si>
    <t>Tutor virtual</t>
  </si>
  <si>
    <t>H7 53</t>
  </si>
  <si>
    <t>Módulo básico para cualquier persona</t>
  </si>
  <si>
    <t>H7 54</t>
  </si>
  <si>
    <t>Cuándo usar cada tipo de estructura</t>
  </si>
  <si>
    <t>H7 55</t>
  </si>
  <si>
    <t>Actividad colaborativa</t>
  </si>
  <si>
    <t>H7 56</t>
  </si>
  <si>
    <t>Jugador</t>
  </si>
  <si>
    <t>H7 57</t>
  </si>
  <si>
    <t>Debe ser parametrizable en su fase de aprendizaje</t>
  </si>
  <si>
    <t>H7 58</t>
  </si>
  <si>
    <t>Se parece a angry birds</t>
  </si>
  <si>
    <t>H7 59</t>
  </si>
  <si>
    <t>purpose-shifting</t>
  </si>
  <si>
    <t>H7 60</t>
  </si>
  <si>
    <t>No necesitan supervisión</t>
  </si>
  <si>
    <t>H7 61</t>
  </si>
  <si>
    <t>Fases: adecuación/aprendizaje/evaluación/resultados</t>
  </si>
  <si>
    <t>H7 62</t>
  </si>
  <si>
    <t>Estudiantes con Acceso a aplicativos lijeros</t>
  </si>
  <si>
    <t>H7 63</t>
  </si>
  <si>
    <t>Estudiantes de colegio que quieran saber de EDA</t>
  </si>
  <si>
    <t>H7 64</t>
  </si>
  <si>
    <t>Aplicativo colaborativo</t>
  </si>
  <si>
    <t>H7 65</t>
  </si>
  <si>
    <t>Explicar por ejemplos</t>
  </si>
  <si>
    <t>H7 66</t>
  </si>
  <si>
    <t>Puede ir adelante o a atrás</t>
  </si>
  <si>
    <t>H7 67</t>
  </si>
  <si>
    <t>Solo necesita al profesor para que le explique si necesita una explicación</t>
  </si>
  <si>
    <t>H7 68</t>
  </si>
  <si>
    <t>H7 69</t>
  </si>
  <si>
    <t>Dispone de diapositivas y ejercicios</t>
  </si>
  <si>
    <t>H7 70</t>
  </si>
  <si>
    <t>El juego no necesariamente debe mostrar el pseudocódigo</t>
  </si>
  <si>
    <t>H7 71</t>
  </si>
  <si>
    <t>Cómo funciona</t>
  </si>
  <si>
    <t>H7 72</t>
  </si>
  <si>
    <t>Todos trabajan en la misma plataforma</t>
  </si>
  <si>
    <t>H7 73</t>
  </si>
  <si>
    <t>Comprender la ejecución</t>
  </si>
  <si>
    <t>H7 74</t>
  </si>
  <si>
    <t>Videos de manera didáctica</t>
  </si>
  <si>
    <t>H7 75</t>
  </si>
  <si>
    <t>Se parece al juego mario bross usando arboles AVL</t>
  </si>
  <si>
    <t>H7 76</t>
  </si>
  <si>
    <t>H7 77</t>
  </si>
  <si>
    <t>Estudiantes que quiere aplicar realmente los conceptos de EDA</t>
  </si>
  <si>
    <t>H7 78</t>
  </si>
  <si>
    <t>Malla</t>
  </si>
  <si>
    <t>H7 79</t>
  </si>
  <si>
    <t>Libro base</t>
  </si>
  <si>
    <t>H7 80</t>
  </si>
  <si>
    <t>Admin</t>
  </si>
  <si>
    <t>H7 81</t>
  </si>
  <si>
    <t>Componentes unidos a una misma plataforma</t>
  </si>
  <si>
    <t>H7 82</t>
  </si>
  <si>
    <t>2D</t>
  </si>
  <si>
    <t>H7 83</t>
  </si>
  <si>
    <t>Una sola línea gráfica</t>
  </si>
  <si>
    <t>H7 84</t>
  </si>
  <si>
    <t>Conceptos/Puntajes/Loggeo</t>
  </si>
  <si>
    <t>H7 85</t>
  </si>
  <si>
    <t>Progreso/niveles/porcentaje de avance/puntos por cada concepto/número de intentos/logros</t>
  </si>
  <si>
    <t>H7 86</t>
  </si>
  <si>
    <t>Un solo estilo</t>
  </si>
  <si>
    <t>H7 87</t>
  </si>
  <si>
    <t>Ejemplos</t>
  </si>
  <si>
    <t>H7 88</t>
  </si>
  <si>
    <t>Demostrar para comprender mejor</t>
  </si>
  <si>
    <t>OBLIGATORIOS</t>
  </si>
  <si>
    <r>
      <t xml:space="preserve">                                  </t>
    </r>
    <r>
      <rPr>
        <b/>
        <sz val="11"/>
        <color rgb="FF000000"/>
        <rFont val="Calibri"/>
        <family val="2"/>
      </rPr>
      <t>Preguntas</t>
    </r>
    <r>
      <rPr>
        <sz val="11"/>
        <color rgb="FF000000"/>
        <rFont val="Calibri"/>
        <family val="2"/>
      </rPr>
      <t xml:space="preserve">   </t>
    </r>
    <r>
      <rPr>
        <sz val="11"/>
        <color rgb="FFFFFFFF"/>
        <rFont val="Calibri"/>
        <family val="2"/>
      </rPr>
      <t>_____________________________________________________TARJETAS _  _</t>
    </r>
    <r>
      <rPr>
        <b/>
        <sz val="11"/>
        <color rgb="FF000000"/>
        <rFont val="Calibri"/>
        <family val="2"/>
      </rPr>
      <t>GaMEPLAY TARJETAS</t>
    </r>
  </si>
  <si>
    <r>
      <t xml:space="preserve">La tarjeta gameplay incluye BLOQUES  gameplay. Esta </t>
    </r>
    <r>
      <rPr>
        <b/>
        <sz val="14"/>
        <color rgb="FF000000"/>
        <rFont val="Calibri"/>
        <family val="2"/>
      </rPr>
      <t xml:space="preserve">completa, </t>
    </r>
    <r>
      <rPr>
        <sz val="14"/>
        <color rgb="FF000000"/>
        <rFont val="Calibri"/>
        <family val="2"/>
      </rPr>
      <t>respetando el formato</t>
    </r>
    <r>
      <rPr>
        <sz val="11"/>
        <color rgb="FF000000"/>
        <rFont val="Calibri"/>
        <family val="2"/>
      </rPr>
      <t>?</t>
    </r>
  </si>
  <si>
    <r>
      <t xml:space="preserve">Existe sinergia entre la tarjeta gameplay con la historia/narrativa/ género. Existe </t>
    </r>
    <r>
      <rPr>
        <sz val="12"/>
        <color rgb="FF000000"/>
        <rFont val="Calibri"/>
        <family val="2"/>
      </rPr>
      <t>consistencia</t>
    </r>
    <r>
      <rPr>
        <sz val="11"/>
        <color rgb="FF000000"/>
        <rFont val="Calibri"/>
        <family val="2"/>
      </rPr>
      <t xml:space="preserve"> es </t>
    </r>
    <r>
      <rPr>
        <b/>
        <sz val="14"/>
        <color rgb="FF000000"/>
        <rFont val="Calibri"/>
        <family val="2"/>
      </rPr>
      <t>apropiado</t>
    </r>
    <r>
      <rPr>
        <sz val="11"/>
        <color rgb="FF000000"/>
        <rFont val="Calibri"/>
        <family val="2"/>
      </rPr>
      <t>?</t>
    </r>
  </si>
  <si>
    <r>
      <t xml:space="preserve">La tarjeta gameplay esta relacionada a la funcionalidad que el usuario necesita, de acuerdo a su alcance. Es </t>
    </r>
    <r>
      <rPr>
        <b/>
        <sz val="14"/>
        <color rgb="FF000000"/>
        <rFont val="Calibri"/>
        <family val="2"/>
      </rPr>
      <t xml:space="preserve"> correcta?</t>
    </r>
  </si>
  <si>
    <r>
      <t xml:space="preserve">La tarjeta gameplay  es  </t>
    </r>
    <r>
      <rPr>
        <b/>
        <sz val="14"/>
        <color rgb="FF000000"/>
        <rFont val="Calibri"/>
        <family val="2"/>
      </rPr>
      <t>necesaria</t>
    </r>
    <r>
      <rPr>
        <sz val="11"/>
        <color rgb="FF000000"/>
        <rFont val="Calibri"/>
        <family val="2"/>
      </rPr>
      <t xml:space="preserve"> que sea implementada?</t>
    </r>
  </si>
  <si>
    <r>
      <t xml:space="preserve">El gameplay  es </t>
    </r>
    <r>
      <rPr>
        <b/>
        <sz val="12"/>
        <color rgb="FF000000"/>
        <rFont val="Calibri"/>
        <family val="2"/>
      </rPr>
      <t>verificable?</t>
    </r>
  </si>
  <si>
    <r>
      <t>Es</t>
    </r>
    <r>
      <rPr>
        <b/>
        <sz val="14"/>
        <color rgb="FF000000"/>
        <rFont val="Calibri"/>
        <family val="2"/>
      </rPr>
      <t xml:space="preserve"> factible </t>
    </r>
    <r>
      <rPr>
        <sz val="11"/>
        <color rgb="FF000000"/>
        <rFont val="Calibri"/>
        <family val="2"/>
      </rPr>
      <t>realizar esta funcionalidad en la plataforma tecnólogica que  se va a desarrollar?</t>
    </r>
  </si>
  <si>
    <r>
      <t xml:space="preserve">La tarjeta gameplay  requiere aclaración para ser implementado, es </t>
    </r>
    <r>
      <rPr>
        <b/>
        <sz val="14"/>
        <color rgb="FF000000"/>
        <rFont val="Calibri"/>
        <family val="2"/>
      </rPr>
      <t>ambigua</t>
    </r>
    <r>
      <rPr>
        <sz val="11"/>
        <color rgb="FF000000"/>
        <rFont val="Calibri"/>
        <family val="2"/>
      </rPr>
      <t>?</t>
    </r>
  </si>
  <si>
    <r>
      <t xml:space="preserve">La tarjeta gameplay puede ser mejorada o </t>
    </r>
    <r>
      <rPr>
        <b/>
        <sz val="16"/>
        <color rgb="FF000000"/>
        <rFont val="Calibri"/>
        <family val="2"/>
      </rPr>
      <t xml:space="preserve">modificada, </t>
    </r>
    <r>
      <rPr>
        <sz val="16"/>
        <color rgb="FF000000"/>
        <rFont val="Calibri"/>
        <family val="2"/>
      </rPr>
      <t>sin alterar la estructura</t>
    </r>
    <r>
      <rPr>
        <sz val="11"/>
        <color rgb="FF000000"/>
        <rFont val="Calibri"/>
        <family val="2"/>
      </rPr>
      <t>?</t>
    </r>
  </si>
  <si>
    <r>
      <t xml:space="preserve">La tarjeta GamePlay no se puede dividir en otras funcionalidades es </t>
    </r>
    <r>
      <rPr>
        <b/>
        <sz val="18"/>
        <color rgb="FF000000"/>
        <rFont val="Calibri"/>
        <family val="2"/>
      </rPr>
      <t>singular</t>
    </r>
    <r>
      <rPr>
        <sz val="11"/>
        <color rgb="FF000000"/>
        <rFont val="Calibri"/>
        <family val="2"/>
      </rPr>
      <t>?</t>
    </r>
  </si>
  <si>
    <r>
      <t xml:space="preserve">La tarjeta gameplay mantene su </t>
    </r>
    <r>
      <rPr>
        <b/>
        <sz val="18"/>
        <color rgb="FF000000"/>
        <rFont val="Calibri"/>
        <family val="2"/>
      </rPr>
      <t>trazabilidad</t>
    </r>
    <r>
      <rPr>
        <sz val="11"/>
        <color rgb="FF000000"/>
        <rFont val="Calibri"/>
        <family val="2"/>
      </rPr>
      <t xml:space="preserve"> respetando el principio del diseño del juego?</t>
    </r>
  </si>
  <si>
    <r>
      <t xml:space="preserve">La tarjeta GamePlay es </t>
    </r>
    <r>
      <rPr>
        <b/>
        <sz val="16"/>
        <color rgb="FF000000"/>
        <rFont val="Calibri"/>
        <family val="2"/>
      </rPr>
      <t xml:space="preserve">consistente </t>
    </r>
    <r>
      <rPr>
        <sz val="11"/>
        <color rgb="FF000000"/>
        <rFont val="Calibri"/>
        <family val="2"/>
      </rPr>
      <t>no se contradice con el diseño inicial propuesto del juego?</t>
    </r>
  </si>
  <si>
    <r>
      <t xml:space="preserve">¿La tarjeta gameplay esta </t>
    </r>
    <r>
      <rPr>
        <b/>
        <sz val="14"/>
        <color rgb="FF000000"/>
        <rFont val="Calibri"/>
        <family val="2"/>
      </rPr>
      <t>conforme</t>
    </r>
    <r>
      <rPr>
        <sz val="11"/>
        <color rgb="FF000000"/>
        <rFont val="Calibri"/>
        <family val="2"/>
      </rPr>
      <t xml:space="preserve"> al diseño propuesto para el juego?</t>
    </r>
  </si>
  <si>
    <t>TG 01</t>
  </si>
  <si>
    <t xml:space="preserve">El jugador podrá hacer clic sobre un Nodo (poste/servidor) para iniciar una conexión y luego hacer clic en otro Nodo para finalizarla, definiendo el origen y destino del cable. </t>
  </si>
  <si>
    <t>TG 02</t>
  </si>
  <si>
    <t xml:space="preserve">El jugador podrá moverse libremente por el escenario 3D utilizando las teclas de dirección (WASD) para explorar el terreno, encontrar nodos alejados y visualizar mejor las rutas posibles </t>
  </si>
  <si>
    <t>TG 03</t>
  </si>
  <si>
    <t xml:space="preserve">El jugador podrá eliminar una conexión mal hecha (cable incorrecto) haciendo clic sobre ella. </t>
  </si>
  <si>
    <t>TG 04</t>
  </si>
  <si>
    <t xml:space="preserve">El jugador gestionará un presupuesto limitado (recurso "Dinero") que disminuye automáticamente cada vez que crea una conexión (Arista) </t>
  </si>
  <si>
    <t>TG 05</t>
  </si>
  <si>
    <t xml:space="preserve">El jugador deberá evitar conectar nodos en dirección contraria a las flechas indicadas en el suelo (en niveles de Grafos Dirigidos) o conectar nodos que ya tienen una conexión redundante. </t>
  </si>
  <si>
    <t>TG 06</t>
  </si>
  <si>
    <t xml:space="preserve">El jugador tendrá un tiempo límite o un "cronómetro de bonificación" en ciertos niveles críticos (como la emergencia del hospital) para completar la red antes de que el sistema colapse. </t>
  </si>
  <si>
    <t>TG 07</t>
  </si>
  <si>
    <t xml:space="preserve">El jugador podrá activar interruptores o palancas en el escenario para "encender" nodos que inicialmente están apagados o bloqueados, habilitando nuevas partes del grafo. </t>
  </si>
  <si>
    <t>TG 08</t>
  </si>
  <si>
    <t xml:space="preserve">El jugador podrá visualizar información flotante (etiquetas de peso/costo) sobre las rutas al usar el mapa o mirar hacia la arista </t>
  </si>
  <si>
    <t>TG 09</t>
  </si>
  <si>
    <t>El jugador podrá visualizar la matriz de adyacencia al seleccionar en la interfaz “Matriz de Adyacencia” </t>
  </si>
  <si>
    <t>TG 10</t>
  </si>
  <si>
    <t xml:space="preserve">Al finalizar las conexiones, el jugador presionará un botón de "Ejecutar/Probar Red" para validar si el flujo de energía/datos llega correctamente del punto A al B según el algoritmo requerido. </t>
  </si>
  <si>
    <t xml:space="preserve">Código historia usario </t>
  </si>
  <si>
    <t xml:space="preserve">PRIORIDAD </t>
  </si>
  <si>
    <t>CL 001</t>
  </si>
  <si>
    <t>A</t>
  </si>
  <si>
    <t>CL 002</t>
  </si>
  <si>
    <t>CL 003</t>
  </si>
  <si>
    <t>B</t>
  </si>
  <si>
    <t>CL 004</t>
  </si>
  <si>
    <t>CL 005</t>
  </si>
  <si>
    <t>CL 006</t>
  </si>
  <si>
    <t>CL 007</t>
  </si>
  <si>
    <t>CL 008</t>
  </si>
  <si>
    <t>M</t>
  </si>
  <si>
    <t>CL 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</si>
</sst>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rgb="FF000000"/>
      <name val="Calibri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name val="Calibri"/>
      <family val="2"/>
    </font>
    <font>
      <b/>
      <sz val="18"/>
      <color rgb="FF000000"/>
      <name val="Calibri"/>
      <family val="2"/>
    </font>
    <font>
      <sz val="16"/>
      <color rgb="FF000000"/>
      <name val="Calibri"/>
      <family val="2"/>
    </font>
    <font>
      <b/>
      <sz val="20"/>
      <color rgb="FF000000"/>
      <name val="Calibri"/>
      <family val="2"/>
    </font>
    <font>
      <b/>
      <sz val="22"/>
      <color rgb="FF000000"/>
      <name val="Calibri"/>
      <family val="2"/>
    </font>
    <font>
      <sz val="8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774"/>
        <bgColor rgb="FFC0504D"/>
      </patternFill>
    </fill>
    <fill>
      <patternFill patternType="solid">
        <fgColor rgb="FFFF7774"/>
        <bgColor rgb="FFFDE9D9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wrapText="1"/>
    </xf>
    <xf numFmtId="0" fontId="0" fillId="0" borderId="5" xfId="0" applyBorder="1"/>
    <xf numFmtId="0" fontId="0" fillId="0" borderId="4" xfId="0" applyBorder="1"/>
    <xf numFmtId="0" fontId="0" fillId="0" borderId="4" xfId="0" applyBorder="1" applyAlignment="1">
      <alignment vertical="center"/>
    </xf>
    <xf numFmtId="0" fontId="5" fillId="0" borderId="0" xfId="0" applyFont="1"/>
    <xf numFmtId="0" fontId="5" fillId="0" borderId="4" xfId="0" applyFont="1" applyBorder="1" applyAlignment="1">
      <alignment vertical="center"/>
    </xf>
    <xf numFmtId="0" fontId="5" fillId="6" borderId="7" xfId="0" applyFont="1" applyFill="1" applyBorder="1" applyAlignment="1">
      <alignment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6" xfId="0" applyFont="1" applyBorder="1" applyAlignment="1">
      <alignment horizontal="left" vertical="top" wrapText="1"/>
    </xf>
    <xf numFmtId="0" fontId="12" fillId="4" borderId="4" xfId="0" applyFont="1" applyFill="1" applyBorder="1" applyAlignment="1">
      <alignment horizontal="center" wrapText="1"/>
    </xf>
    <xf numFmtId="0" fontId="14" fillId="8" borderId="4" xfId="0" applyFont="1" applyFill="1" applyBorder="1"/>
    <xf numFmtId="0" fontId="5" fillId="0" borderId="4" xfId="0" applyFont="1" applyBorder="1"/>
    <xf numFmtId="0" fontId="5" fillId="9" borderId="0" xfId="0" applyFont="1" applyFill="1"/>
    <xf numFmtId="0" fontId="5" fillId="0" borderId="2" xfId="0" applyFont="1" applyBorder="1" applyAlignment="1">
      <alignment horizontal="left" vertical="top" wrapText="1"/>
    </xf>
    <xf numFmtId="0" fontId="0" fillId="0" borderId="4" xfId="0" applyBorder="1" applyAlignment="1">
      <alignment vertical="center" wrapText="1"/>
    </xf>
    <xf numFmtId="0" fontId="0" fillId="0" borderId="9" xfId="0" applyBorder="1"/>
    <xf numFmtId="0" fontId="5" fillId="2" borderId="10" xfId="0" applyFont="1" applyFill="1" applyBorder="1" applyAlignment="1">
      <alignment vertical="center" wrapText="1"/>
    </xf>
    <xf numFmtId="0" fontId="5" fillId="7" borderId="11" xfId="0" applyFont="1" applyFill="1" applyBorder="1" applyAlignment="1">
      <alignment vertical="center" wrapText="1"/>
    </xf>
    <xf numFmtId="0" fontId="5" fillId="6" borderId="11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0" fillId="7" borderId="11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19" fillId="0" borderId="4" xfId="0" applyFont="1" applyBorder="1"/>
    <xf numFmtId="0" fontId="22" fillId="4" borderId="13" xfId="0" applyFont="1" applyFill="1" applyBorder="1" applyAlignment="1">
      <alignment horizontal="left" vertical="center" wrapText="1" indent="1" readingOrder="1"/>
    </xf>
    <xf numFmtId="0" fontId="23" fillId="4" borderId="13" xfId="0" applyFont="1" applyFill="1" applyBorder="1" applyAlignment="1">
      <alignment horizontal="left" vertical="center" wrapText="1" indent="1" readingOrder="1"/>
    </xf>
    <xf numFmtId="0" fontId="24" fillId="0" borderId="1" xfId="0" applyFont="1" applyBorder="1"/>
    <xf numFmtId="0" fontId="24" fillId="0" borderId="2" xfId="0" applyFont="1" applyBorder="1"/>
    <xf numFmtId="0" fontId="24" fillId="0" borderId="0" xfId="0" applyFont="1"/>
    <xf numFmtId="0" fontId="24" fillId="0" borderId="1" xfId="0" applyFont="1" applyBorder="1" applyAlignment="1">
      <alignment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2" fillId="10" borderId="13" xfId="0" applyFont="1" applyFill="1" applyBorder="1" applyAlignment="1">
      <alignment horizontal="left" vertical="center" wrapText="1" indent="1" readingOrder="1"/>
    </xf>
    <xf numFmtId="0" fontId="23" fillId="10" borderId="13" xfId="0" applyFont="1" applyFill="1" applyBorder="1" applyAlignment="1">
      <alignment horizontal="left" vertical="center" wrapText="1" indent="1" readingOrder="1"/>
    </xf>
    <xf numFmtId="0" fontId="22" fillId="11" borderId="13" xfId="0" applyFont="1" applyFill="1" applyBorder="1" applyAlignment="1">
      <alignment horizontal="left" vertical="center" wrapText="1" indent="1" readingOrder="1"/>
    </xf>
    <xf numFmtId="0" fontId="23" fillId="11" borderId="13" xfId="0" applyFont="1" applyFill="1" applyBorder="1" applyAlignment="1">
      <alignment horizontal="left" vertical="center" wrapText="1" indent="1" readingOrder="1"/>
    </xf>
    <xf numFmtId="0" fontId="22" fillId="12" borderId="13" xfId="0" applyFont="1" applyFill="1" applyBorder="1" applyAlignment="1">
      <alignment horizontal="left" vertical="center" wrapText="1" indent="1" readingOrder="1"/>
    </xf>
    <xf numFmtId="0" fontId="23" fillId="12" borderId="13" xfId="0" applyFont="1" applyFill="1" applyBorder="1" applyAlignment="1">
      <alignment horizontal="left" vertical="center" wrapText="1" indent="1" readingOrder="1"/>
    </xf>
    <xf numFmtId="0" fontId="22" fillId="13" borderId="13" xfId="0" applyFont="1" applyFill="1" applyBorder="1" applyAlignment="1">
      <alignment horizontal="left" vertical="center" wrapText="1" indent="1" readingOrder="1"/>
    </xf>
    <xf numFmtId="0" fontId="23" fillId="13" borderId="13" xfId="0" applyFont="1" applyFill="1" applyBorder="1" applyAlignment="1">
      <alignment horizontal="left" vertical="center" wrapText="1" indent="1" readingOrder="1"/>
    </xf>
    <xf numFmtId="0" fontId="22" fillId="14" borderId="13" xfId="0" applyFont="1" applyFill="1" applyBorder="1" applyAlignment="1">
      <alignment horizontal="left" vertical="center" wrapText="1" indent="1" readingOrder="1"/>
    </xf>
    <xf numFmtId="0" fontId="23" fillId="14" borderId="13" xfId="0" applyFont="1" applyFill="1" applyBorder="1" applyAlignment="1">
      <alignment horizontal="left" vertical="center" wrapText="1" indent="1" readingOrder="1"/>
    </xf>
    <xf numFmtId="0" fontId="24" fillId="15" borderId="14" xfId="0" applyFont="1" applyFill="1" applyBorder="1" applyAlignment="1">
      <alignment wrapText="1"/>
    </xf>
    <xf numFmtId="0" fontId="24" fillId="15" borderId="14" xfId="0" applyFont="1" applyFill="1" applyBorder="1" applyAlignment="1">
      <alignment vertical="center"/>
    </xf>
    <xf numFmtId="0" fontId="5" fillId="6" borderId="12" xfId="0" applyFont="1" applyFill="1" applyBorder="1" applyAlignment="1">
      <alignment vertical="center" wrapText="1"/>
    </xf>
    <xf numFmtId="0" fontId="25" fillId="0" borderId="4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 readingOrder="1"/>
    </xf>
    <xf numFmtId="0" fontId="20" fillId="0" borderId="4" xfId="0" applyFont="1" applyBorder="1" applyAlignment="1">
      <alignment horizontal="left" wrapText="1" readingOrder="1"/>
    </xf>
    <xf numFmtId="0" fontId="14" fillId="4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774"/>
      <color rgb="FFD27B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7"/>
  <sheetViews>
    <sheetView zoomScaleNormal="100" workbookViewId="0">
      <pane xSplit="2" topLeftCell="K9" activePane="topRight" state="frozen"/>
      <selection pane="topRight" activeCell="Q318" sqref="Q318"/>
    </sheetView>
  </sheetViews>
  <sheetFormatPr defaultColWidth="14.42578125" defaultRowHeight="14.45"/>
  <cols>
    <col min="1" max="1" width="9.140625" customWidth="1"/>
    <col min="2" max="2" width="76.7109375" bestFit="1" customWidth="1"/>
    <col min="3" max="3" width="26.85546875" customWidth="1"/>
    <col min="4" max="4" width="32.42578125" customWidth="1"/>
    <col min="5" max="5" width="26.85546875" customWidth="1"/>
    <col min="6" max="6" width="19.7109375" customWidth="1"/>
    <col min="7" max="7" width="16.85546875" customWidth="1"/>
    <col min="8" max="8" width="23.42578125" customWidth="1"/>
    <col min="9" max="9" width="37.140625" customWidth="1"/>
    <col min="10" max="10" width="38.85546875" customWidth="1"/>
    <col min="11" max="11" width="23.85546875" customWidth="1"/>
    <col min="12" max="12" width="22" customWidth="1"/>
    <col min="13" max="13" width="27.85546875" customWidth="1"/>
    <col min="14" max="14" width="9" hidden="1" customWidth="1"/>
    <col min="15" max="15" width="28" customWidth="1"/>
    <col min="16" max="18" width="9.140625" customWidth="1"/>
  </cols>
  <sheetData>
    <row r="1" spans="1:18">
      <c r="B1" t="s">
        <v>0</v>
      </c>
      <c r="G1" s="14"/>
      <c r="H1" s="19"/>
      <c r="I1" s="13"/>
      <c r="M1" s="10" t="s">
        <v>1</v>
      </c>
      <c r="O1" s="10"/>
    </row>
    <row r="2" spans="1:18">
      <c r="B2" t="s">
        <v>2</v>
      </c>
    </row>
    <row r="5" spans="1:18" ht="25.9">
      <c r="C5" s="58" t="s">
        <v>3</v>
      </c>
      <c r="D5" s="59"/>
      <c r="G5" s="57" t="s">
        <v>4</v>
      </c>
      <c r="H5" s="57"/>
      <c r="I5" s="57"/>
    </row>
    <row r="6" spans="1:18">
      <c r="J6" s="10" t="s">
        <v>5</v>
      </c>
      <c r="M6" s="10" t="s">
        <v>6</v>
      </c>
    </row>
    <row r="7" spans="1:18" ht="25.9">
      <c r="C7" s="60" t="s">
        <v>7</v>
      </c>
      <c r="D7" s="61"/>
      <c r="E7" s="61"/>
      <c r="F7" s="61"/>
      <c r="G7" s="61"/>
      <c r="H7" s="61"/>
      <c r="I7" s="61"/>
    </row>
    <row r="8" spans="1:18" ht="102.6" thickBot="1">
      <c r="A8" s="22"/>
      <c r="B8" s="20" t="s">
        <v>8</v>
      </c>
      <c r="C8" s="23" t="s">
        <v>9</v>
      </c>
      <c r="D8" s="30" t="s">
        <v>10</v>
      </c>
      <c r="E8" s="24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6" t="s">
        <v>16</v>
      </c>
      <c r="K8" s="26" t="s">
        <v>17</v>
      </c>
      <c r="L8" s="31" t="s">
        <v>18</v>
      </c>
      <c r="M8" s="27" t="s">
        <v>19</v>
      </c>
      <c r="N8" s="28" t="s">
        <v>20</v>
      </c>
      <c r="O8" s="29" t="s">
        <v>21</v>
      </c>
      <c r="P8" s="29" t="s">
        <v>22</v>
      </c>
      <c r="Q8" s="1"/>
      <c r="R8" s="1"/>
    </row>
    <row r="9" spans="1:18" s="37" customFormat="1" ht="15" thickBot="1">
      <c r="A9" s="33" t="s">
        <v>23</v>
      </c>
      <c r="B9" s="34" t="s">
        <v>24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 t="s">
        <v>25</v>
      </c>
      <c r="O9" s="35">
        <v>0</v>
      </c>
      <c r="P9" s="35">
        <f>SUM(C9:O9)</f>
        <v>0</v>
      </c>
      <c r="Q9" s="36"/>
    </row>
    <row r="10" spans="1:18" s="37" customFormat="1" ht="15" thickBot="1">
      <c r="A10" s="33" t="s">
        <v>26</v>
      </c>
      <c r="B10" s="34" t="s">
        <v>27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8">
        <v>0</v>
      </c>
      <c r="J10" s="35">
        <v>0</v>
      </c>
      <c r="K10" s="35">
        <v>0</v>
      </c>
      <c r="L10" s="35">
        <v>0</v>
      </c>
      <c r="M10" s="35">
        <v>0</v>
      </c>
      <c r="N10" s="35" t="s">
        <v>28</v>
      </c>
      <c r="O10" s="35">
        <v>0</v>
      </c>
      <c r="P10" s="35">
        <f>SUM(C10:O10)</f>
        <v>0</v>
      </c>
      <c r="Q10" s="36"/>
    </row>
    <row r="11" spans="1:18" s="37" customFormat="1" ht="15" thickBot="1">
      <c r="A11" s="33" t="s">
        <v>29</v>
      </c>
      <c r="B11" s="34" t="s">
        <v>30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 t="s">
        <v>31</v>
      </c>
      <c r="O11" s="35">
        <v>0</v>
      </c>
      <c r="P11" s="35">
        <f t="shared" ref="P11:P62" si="0">SUM(C11:O11)</f>
        <v>0</v>
      </c>
      <c r="Q11" s="36"/>
    </row>
    <row r="12" spans="1:18" s="37" customFormat="1" ht="15" thickBot="1">
      <c r="A12" s="33" t="s">
        <v>32</v>
      </c>
      <c r="B12" s="34" t="s">
        <v>33</v>
      </c>
      <c r="C12" s="39">
        <v>0</v>
      </c>
      <c r="D12" s="39">
        <v>0</v>
      </c>
      <c r="E12" s="35">
        <v>0</v>
      </c>
      <c r="F12" s="35">
        <v>0</v>
      </c>
      <c r="G12" s="35">
        <v>0</v>
      </c>
      <c r="H12" s="35">
        <v>0</v>
      </c>
      <c r="I12" s="38">
        <v>0</v>
      </c>
      <c r="J12" s="35">
        <v>0</v>
      </c>
      <c r="K12" s="35">
        <v>0</v>
      </c>
      <c r="L12" s="35">
        <v>0</v>
      </c>
      <c r="M12" s="35">
        <v>0</v>
      </c>
      <c r="N12" s="35"/>
      <c r="O12" s="35">
        <v>0</v>
      </c>
      <c r="P12" s="35">
        <f t="shared" si="0"/>
        <v>0</v>
      </c>
      <c r="Q12" s="36"/>
    </row>
    <row r="13" spans="1:18" s="37" customFormat="1" ht="15" thickBot="1">
      <c r="A13" s="33" t="s">
        <v>34</v>
      </c>
      <c r="B13" s="34" t="s">
        <v>35</v>
      </c>
      <c r="C13" s="35">
        <v>1</v>
      </c>
      <c r="D13" s="35">
        <v>1</v>
      </c>
      <c r="E13" s="35">
        <v>1</v>
      </c>
      <c r="F13" s="35">
        <v>1</v>
      </c>
      <c r="G13" s="35">
        <v>1</v>
      </c>
      <c r="H13" s="35">
        <v>1</v>
      </c>
      <c r="I13" s="38">
        <v>0</v>
      </c>
      <c r="J13" s="35">
        <v>1</v>
      </c>
      <c r="K13" s="35">
        <v>1</v>
      </c>
      <c r="L13" s="35">
        <v>1</v>
      </c>
      <c r="M13" s="35">
        <v>1</v>
      </c>
      <c r="N13" s="35"/>
      <c r="O13" s="35">
        <v>1</v>
      </c>
      <c r="P13" s="35">
        <f t="shared" si="0"/>
        <v>11</v>
      </c>
      <c r="Q13" s="36"/>
    </row>
    <row r="14" spans="1:18" s="37" customFormat="1" ht="15" thickBot="1">
      <c r="A14" s="33" t="s">
        <v>36</v>
      </c>
      <c r="B14" s="34" t="s">
        <v>37</v>
      </c>
      <c r="C14" s="39">
        <v>0</v>
      </c>
      <c r="D14" s="39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/>
      <c r="O14" s="35">
        <v>0</v>
      </c>
      <c r="P14" s="35">
        <f t="shared" si="0"/>
        <v>0</v>
      </c>
      <c r="Q14" s="36"/>
    </row>
    <row r="15" spans="1:18" s="37" customFormat="1" ht="15" thickBot="1">
      <c r="A15" s="33" t="s">
        <v>38</v>
      </c>
      <c r="B15" s="34" t="s">
        <v>39</v>
      </c>
      <c r="C15" s="40">
        <v>0</v>
      </c>
      <c r="D15" s="40">
        <v>0</v>
      </c>
      <c r="E15" s="35">
        <v>0</v>
      </c>
      <c r="F15" s="35">
        <v>0</v>
      </c>
      <c r="G15" s="35">
        <v>0</v>
      </c>
      <c r="H15" s="35">
        <v>0</v>
      </c>
      <c r="I15" s="40">
        <v>0</v>
      </c>
      <c r="J15" s="35">
        <v>0</v>
      </c>
      <c r="K15" s="35">
        <v>0</v>
      </c>
      <c r="L15" s="35">
        <v>0</v>
      </c>
      <c r="M15" s="35">
        <v>0</v>
      </c>
      <c r="N15" s="35"/>
      <c r="O15" s="35">
        <v>0</v>
      </c>
      <c r="P15" s="35">
        <f t="shared" si="0"/>
        <v>0</v>
      </c>
      <c r="Q15" s="36"/>
    </row>
    <row r="16" spans="1:18" s="37" customFormat="1" ht="15" thickBot="1">
      <c r="A16" s="33" t="s">
        <v>40</v>
      </c>
      <c r="B16" s="34" t="s">
        <v>41</v>
      </c>
      <c r="C16" s="40">
        <v>1</v>
      </c>
      <c r="D16" s="40">
        <v>1</v>
      </c>
      <c r="E16" s="40">
        <v>1</v>
      </c>
      <c r="F16" s="40">
        <v>1</v>
      </c>
      <c r="G16" s="35">
        <v>1</v>
      </c>
      <c r="H16" s="35">
        <v>1</v>
      </c>
      <c r="I16" s="40">
        <v>1</v>
      </c>
      <c r="J16" s="35">
        <v>1</v>
      </c>
      <c r="K16" s="35">
        <v>1</v>
      </c>
      <c r="L16" s="35">
        <v>1</v>
      </c>
      <c r="M16" s="35">
        <v>1</v>
      </c>
      <c r="N16" s="35"/>
      <c r="O16" s="35">
        <v>1</v>
      </c>
      <c r="P16" s="35">
        <f t="shared" si="0"/>
        <v>12</v>
      </c>
      <c r="Q16" s="36"/>
    </row>
    <row r="17" spans="1:17" s="37" customFormat="1" ht="15" thickBot="1">
      <c r="A17" s="33" t="s">
        <v>42</v>
      </c>
      <c r="B17" s="34" t="s">
        <v>43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35">
        <v>0</v>
      </c>
      <c r="L17" s="35">
        <v>0</v>
      </c>
      <c r="M17" s="35">
        <v>0</v>
      </c>
      <c r="N17" s="35"/>
      <c r="O17" s="35">
        <v>0</v>
      </c>
      <c r="P17" s="35">
        <f t="shared" si="0"/>
        <v>0</v>
      </c>
      <c r="Q17" s="36"/>
    </row>
    <row r="18" spans="1:17" s="37" customFormat="1" ht="15" thickBot="1">
      <c r="A18" s="33" t="s">
        <v>44</v>
      </c>
      <c r="B18" s="34" t="s">
        <v>45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35">
        <v>0</v>
      </c>
      <c r="L18" s="35">
        <v>0</v>
      </c>
      <c r="M18" s="35">
        <v>0</v>
      </c>
      <c r="N18" s="35"/>
      <c r="O18" s="35">
        <v>0</v>
      </c>
      <c r="P18" s="35">
        <f t="shared" si="0"/>
        <v>0</v>
      </c>
      <c r="Q18" s="36"/>
    </row>
    <row r="19" spans="1:17" s="37" customFormat="1" ht="15" thickBot="1">
      <c r="A19" s="33" t="s">
        <v>46</v>
      </c>
      <c r="B19" s="34" t="s">
        <v>47</v>
      </c>
      <c r="C19" s="40">
        <v>1</v>
      </c>
      <c r="D19" s="40">
        <v>1</v>
      </c>
      <c r="E19" s="40">
        <v>1</v>
      </c>
      <c r="F19" s="40">
        <v>1</v>
      </c>
      <c r="G19" s="40">
        <v>1</v>
      </c>
      <c r="H19" s="40">
        <v>1</v>
      </c>
      <c r="I19" s="40">
        <v>1</v>
      </c>
      <c r="J19" s="40">
        <v>1</v>
      </c>
      <c r="K19" s="35">
        <v>1</v>
      </c>
      <c r="L19" s="35">
        <v>1</v>
      </c>
      <c r="M19" s="35">
        <v>1</v>
      </c>
      <c r="N19" s="35"/>
      <c r="O19" s="35">
        <v>1</v>
      </c>
      <c r="P19" s="35">
        <f t="shared" si="0"/>
        <v>12</v>
      </c>
      <c r="Q19" s="36"/>
    </row>
    <row r="20" spans="1:17" s="37" customFormat="1" ht="15" thickBot="1">
      <c r="A20" s="33" t="s">
        <v>48</v>
      </c>
      <c r="B20" s="34" t="s">
        <v>49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35">
        <v>0</v>
      </c>
      <c r="L20" s="35">
        <v>0</v>
      </c>
      <c r="M20" s="35">
        <v>0</v>
      </c>
      <c r="N20" s="35"/>
      <c r="O20" s="35">
        <v>0</v>
      </c>
      <c r="P20" s="35">
        <f t="shared" si="0"/>
        <v>0</v>
      </c>
      <c r="Q20" s="36"/>
    </row>
    <row r="21" spans="1:17" s="37" customFormat="1" ht="15" thickBot="1">
      <c r="A21" s="33" t="s">
        <v>50</v>
      </c>
      <c r="B21" s="34" t="s">
        <v>51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35">
        <f t="shared" si="0"/>
        <v>0</v>
      </c>
      <c r="Q21" s="36"/>
    </row>
    <row r="22" spans="1:17" s="37" customFormat="1" ht="15" thickBot="1">
      <c r="A22" s="33" t="s">
        <v>52</v>
      </c>
      <c r="B22" s="34" t="s">
        <v>53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f t="shared" si="0"/>
        <v>0</v>
      </c>
      <c r="Q22" s="36"/>
    </row>
    <row r="23" spans="1:17" s="37" customFormat="1" ht="15" thickBot="1">
      <c r="A23" s="33" t="s">
        <v>54</v>
      </c>
      <c r="B23" s="34" t="s">
        <v>55</v>
      </c>
      <c r="C23" s="40">
        <v>1</v>
      </c>
      <c r="D23" s="40">
        <v>1</v>
      </c>
      <c r="E23" s="40">
        <v>1</v>
      </c>
      <c r="F23" s="40">
        <v>1</v>
      </c>
      <c r="G23" s="40">
        <v>1</v>
      </c>
      <c r="H23" s="40">
        <v>1</v>
      </c>
      <c r="I23" s="40">
        <v>1</v>
      </c>
      <c r="J23" s="40">
        <v>1</v>
      </c>
      <c r="K23" s="35">
        <v>1</v>
      </c>
      <c r="L23" s="35">
        <v>1</v>
      </c>
      <c r="M23" s="35">
        <v>1</v>
      </c>
      <c r="N23" s="35"/>
      <c r="O23" s="35">
        <v>1</v>
      </c>
      <c r="P23" s="35">
        <f t="shared" si="0"/>
        <v>12</v>
      </c>
      <c r="Q23" s="36"/>
    </row>
    <row r="24" spans="1:17" s="37" customFormat="1" ht="15" thickBot="1">
      <c r="A24" s="33" t="s">
        <v>56</v>
      </c>
      <c r="B24" s="34" t="s">
        <v>57</v>
      </c>
      <c r="C24" s="35">
        <v>1</v>
      </c>
      <c r="D24" s="35">
        <v>1</v>
      </c>
      <c r="E24" s="40">
        <v>1</v>
      </c>
      <c r="F24" s="40">
        <v>1</v>
      </c>
      <c r="G24" s="40">
        <v>1</v>
      </c>
      <c r="H24" s="40">
        <v>1</v>
      </c>
      <c r="I24" s="40">
        <v>1</v>
      </c>
      <c r="J24" s="40">
        <v>1</v>
      </c>
      <c r="K24" s="35">
        <v>1</v>
      </c>
      <c r="L24" s="35">
        <v>1</v>
      </c>
      <c r="M24" s="35">
        <v>1</v>
      </c>
      <c r="N24" s="35"/>
      <c r="O24" s="35">
        <v>1</v>
      </c>
      <c r="P24" s="35">
        <f t="shared" si="0"/>
        <v>12</v>
      </c>
      <c r="Q24" s="36"/>
    </row>
    <row r="25" spans="1:17" s="37" customFormat="1" ht="15" thickBot="1">
      <c r="A25" s="33" t="s">
        <v>58</v>
      </c>
      <c r="B25" s="34" t="s">
        <v>59</v>
      </c>
      <c r="C25" s="40">
        <v>0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35">
        <f t="shared" si="0"/>
        <v>0</v>
      </c>
      <c r="Q25" s="36"/>
    </row>
    <row r="26" spans="1:17" s="37" customFormat="1" ht="15" thickBot="1">
      <c r="A26" s="33" t="s">
        <v>60</v>
      </c>
      <c r="B26" s="34" t="s">
        <v>61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f t="shared" si="0"/>
        <v>0</v>
      </c>
      <c r="Q26" s="36"/>
    </row>
    <row r="27" spans="1:17" s="37" customFormat="1" ht="15" thickBot="1">
      <c r="A27" s="33" t="s">
        <v>62</v>
      </c>
      <c r="B27" s="34" t="s">
        <v>47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35">
        <f t="shared" si="0"/>
        <v>0</v>
      </c>
      <c r="Q27" s="36"/>
    </row>
    <row r="28" spans="1:17" s="37" customFormat="1" ht="15" thickBot="1">
      <c r="A28" s="33" t="s">
        <v>63</v>
      </c>
      <c r="B28" s="34" t="s">
        <v>64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35">
        <f t="shared" si="0"/>
        <v>0</v>
      </c>
      <c r="Q28" s="36"/>
    </row>
    <row r="29" spans="1:17" s="37" customFormat="1" ht="15" thickBot="1">
      <c r="A29" s="33" t="s">
        <v>65</v>
      </c>
      <c r="B29" s="34" t="s">
        <v>66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35">
        <f t="shared" si="0"/>
        <v>0</v>
      </c>
      <c r="Q29" s="36"/>
    </row>
    <row r="30" spans="1:17" s="37" customFormat="1" ht="15" thickBot="1">
      <c r="A30" s="33" t="s">
        <v>67</v>
      </c>
      <c r="B30" s="34" t="s">
        <v>68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35">
        <f t="shared" si="0"/>
        <v>0</v>
      </c>
      <c r="Q30" s="36"/>
    </row>
    <row r="31" spans="1:17" s="37" customFormat="1" ht="15" thickBot="1">
      <c r="A31" s="33" t="s">
        <v>69</v>
      </c>
      <c r="B31" s="34" t="s">
        <v>70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35">
        <f t="shared" si="0"/>
        <v>0</v>
      </c>
      <c r="Q31" s="36"/>
    </row>
    <row r="32" spans="1:17" s="37" customFormat="1" ht="15" thickBot="1">
      <c r="A32" s="33" t="s">
        <v>71</v>
      </c>
      <c r="B32" s="34" t="s">
        <v>72</v>
      </c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35">
        <f t="shared" si="0"/>
        <v>0</v>
      </c>
      <c r="Q32" s="36"/>
    </row>
    <row r="33" spans="1:17" s="37" customFormat="1" ht="15" thickBot="1">
      <c r="A33" s="33" t="s">
        <v>73</v>
      </c>
      <c r="B33" s="34" t="s">
        <v>74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35">
        <f t="shared" si="0"/>
        <v>0</v>
      </c>
      <c r="Q33" s="36"/>
    </row>
    <row r="34" spans="1:17" s="37" customFormat="1" ht="15" thickBot="1">
      <c r="A34" s="33" t="s">
        <v>75</v>
      </c>
      <c r="B34" s="34" t="s">
        <v>76</v>
      </c>
      <c r="C34" s="35">
        <v>0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f t="shared" si="0"/>
        <v>0</v>
      </c>
      <c r="Q34" s="36"/>
    </row>
    <row r="35" spans="1:17" s="37" customFormat="1" ht="15" thickBot="1">
      <c r="A35" s="33" t="s">
        <v>77</v>
      </c>
      <c r="B35" s="34" t="s">
        <v>78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f t="shared" si="0"/>
        <v>0</v>
      </c>
      <c r="Q35" s="36"/>
    </row>
    <row r="36" spans="1:17" s="37" customFormat="1" ht="15" thickBot="1">
      <c r="A36" s="33" t="s">
        <v>79</v>
      </c>
      <c r="B36" s="34" t="s">
        <v>80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f t="shared" si="0"/>
        <v>0</v>
      </c>
      <c r="Q36" s="36"/>
    </row>
    <row r="37" spans="1:17" s="37" customFormat="1" ht="15" thickBot="1">
      <c r="A37" s="33" t="s">
        <v>81</v>
      </c>
      <c r="B37" s="34" t="s">
        <v>82</v>
      </c>
      <c r="C37" s="35">
        <v>0</v>
      </c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f t="shared" si="0"/>
        <v>0</v>
      </c>
      <c r="Q37" s="36"/>
    </row>
    <row r="38" spans="1:17" s="37" customFormat="1" ht="15" thickBot="1">
      <c r="A38" s="33" t="s">
        <v>83</v>
      </c>
      <c r="B38" s="34" t="s">
        <v>84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f t="shared" si="0"/>
        <v>0</v>
      </c>
      <c r="Q38" s="36"/>
    </row>
    <row r="39" spans="1:17" s="37" customFormat="1" ht="15" thickBot="1">
      <c r="A39" s="33" t="s">
        <v>85</v>
      </c>
      <c r="B39" s="34" t="s">
        <v>86</v>
      </c>
      <c r="C39" s="35">
        <v>0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f t="shared" si="0"/>
        <v>0</v>
      </c>
      <c r="Q39" s="36"/>
    </row>
    <row r="40" spans="1:17" s="37" customFormat="1" ht="15" thickBot="1">
      <c r="A40" s="41" t="s">
        <v>87</v>
      </c>
      <c r="B40" s="42" t="s">
        <v>88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f t="shared" si="0"/>
        <v>0</v>
      </c>
      <c r="Q40" s="36"/>
    </row>
    <row r="41" spans="1:17" s="37" customFormat="1" ht="15" thickBot="1">
      <c r="A41" s="41" t="s">
        <v>89</v>
      </c>
      <c r="B41" s="42" t="s">
        <v>90</v>
      </c>
      <c r="C41" s="35">
        <v>0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f t="shared" si="0"/>
        <v>0</v>
      </c>
      <c r="Q41" s="36"/>
    </row>
    <row r="42" spans="1:17" s="37" customFormat="1" ht="15" thickBot="1">
      <c r="A42" s="41" t="s">
        <v>91</v>
      </c>
      <c r="B42" s="42" t="s">
        <v>92</v>
      </c>
      <c r="C42" s="35">
        <v>1</v>
      </c>
      <c r="D42" s="35">
        <v>1</v>
      </c>
      <c r="E42" s="35">
        <v>1</v>
      </c>
      <c r="F42" s="35">
        <v>1</v>
      </c>
      <c r="G42" s="35">
        <v>1</v>
      </c>
      <c r="H42" s="35">
        <v>1</v>
      </c>
      <c r="I42" s="35">
        <v>1</v>
      </c>
      <c r="J42" s="35">
        <v>1</v>
      </c>
      <c r="K42" s="35">
        <v>1</v>
      </c>
      <c r="L42" s="35">
        <v>1</v>
      </c>
      <c r="M42" s="35">
        <v>1</v>
      </c>
      <c r="N42" s="35"/>
      <c r="O42" s="35">
        <v>1</v>
      </c>
      <c r="P42" s="35">
        <f t="shared" si="0"/>
        <v>12</v>
      </c>
      <c r="Q42" s="36"/>
    </row>
    <row r="43" spans="1:17" s="37" customFormat="1" ht="15" thickBot="1">
      <c r="A43" s="41" t="s">
        <v>93</v>
      </c>
      <c r="B43" s="42" t="s">
        <v>94</v>
      </c>
      <c r="C43" s="35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f t="shared" si="0"/>
        <v>0</v>
      </c>
      <c r="Q43" s="36"/>
    </row>
    <row r="44" spans="1:17" s="37" customFormat="1" ht="15" thickBot="1">
      <c r="A44" s="41" t="s">
        <v>95</v>
      </c>
      <c r="B44" s="42" t="s">
        <v>96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f t="shared" si="0"/>
        <v>0</v>
      </c>
      <c r="Q44" s="36"/>
    </row>
    <row r="45" spans="1:17" s="37" customFormat="1" ht="15" thickBot="1">
      <c r="A45" s="41" t="s">
        <v>97</v>
      </c>
      <c r="B45" s="42" t="s">
        <v>98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f t="shared" si="0"/>
        <v>0</v>
      </c>
      <c r="Q45" s="36"/>
    </row>
    <row r="46" spans="1:17" s="37" customFormat="1" ht="15" thickBot="1">
      <c r="A46" s="41" t="s">
        <v>99</v>
      </c>
      <c r="B46" s="42" t="s">
        <v>100</v>
      </c>
      <c r="C46" s="35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f t="shared" si="0"/>
        <v>0</v>
      </c>
      <c r="Q46" s="36"/>
    </row>
    <row r="47" spans="1:17" s="37" customFormat="1" ht="15" thickBot="1">
      <c r="A47" s="41" t="s">
        <v>101</v>
      </c>
      <c r="B47" s="42" t="s">
        <v>102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f t="shared" si="0"/>
        <v>0</v>
      </c>
      <c r="Q47" s="36"/>
    </row>
    <row r="48" spans="1:17" s="37" customFormat="1" ht="15" thickBot="1">
      <c r="A48" s="41" t="s">
        <v>103</v>
      </c>
      <c r="B48" s="42" t="s">
        <v>104</v>
      </c>
      <c r="C48" s="35">
        <v>1</v>
      </c>
      <c r="D48" s="35">
        <v>1</v>
      </c>
      <c r="E48" s="35">
        <v>1</v>
      </c>
      <c r="F48" s="35">
        <v>1</v>
      </c>
      <c r="G48" s="35">
        <v>0</v>
      </c>
      <c r="H48" s="35">
        <v>1</v>
      </c>
      <c r="I48" s="35">
        <v>1</v>
      </c>
      <c r="J48" s="35">
        <v>1</v>
      </c>
      <c r="K48" s="35">
        <v>1</v>
      </c>
      <c r="L48" s="35">
        <v>1</v>
      </c>
      <c r="M48" s="35">
        <v>1</v>
      </c>
      <c r="N48" s="35"/>
      <c r="O48" s="35">
        <v>1</v>
      </c>
      <c r="P48" s="35">
        <f t="shared" si="0"/>
        <v>11</v>
      </c>
      <c r="Q48" s="36"/>
    </row>
    <row r="49" spans="1:17" s="37" customFormat="1" ht="15" thickBot="1">
      <c r="A49" s="41" t="s">
        <v>105</v>
      </c>
      <c r="B49" s="42" t="s">
        <v>106</v>
      </c>
      <c r="C49" s="35">
        <v>1</v>
      </c>
      <c r="D49" s="35">
        <v>1</v>
      </c>
      <c r="E49" s="35">
        <v>1</v>
      </c>
      <c r="F49" s="35">
        <v>1</v>
      </c>
      <c r="G49" s="35">
        <v>1</v>
      </c>
      <c r="H49" s="35">
        <v>0</v>
      </c>
      <c r="I49" s="35">
        <v>1</v>
      </c>
      <c r="J49" s="35">
        <v>1</v>
      </c>
      <c r="K49" s="35">
        <v>1</v>
      </c>
      <c r="L49" s="35">
        <v>1</v>
      </c>
      <c r="M49" s="35">
        <v>1</v>
      </c>
      <c r="N49" s="35"/>
      <c r="O49" s="35">
        <v>1</v>
      </c>
      <c r="P49" s="35">
        <f t="shared" si="0"/>
        <v>11</v>
      </c>
      <c r="Q49" s="36"/>
    </row>
    <row r="50" spans="1:17" s="37" customFormat="1" ht="15" thickBot="1">
      <c r="A50" s="41" t="s">
        <v>107</v>
      </c>
      <c r="B50" s="42" t="s">
        <v>108</v>
      </c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f t="shared" si="0"/>
        <v>0</v>
      </c>
      <c r="Q50" s="36"/>
    </row>
    <row r="51" spans="1:17" s="37" customFormat="1" ht="15" thickBot="1">
      <c r="A51" s="41" t="s">
        <v>109</v>
      </c>
      <c r="B51" s="42" t="s">
        <v>110</v>
      </c>
      <c r="C51" s="35">
        <v>0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f t="shared" si="0"/>
        <v>0</v>
      </c>
      <c r="Q51" s="36"/>
    </row>
    <row r="52" spans="1:17" s="37" customFormat="1" ht="15" thickBot="1">
      <c r="A52" s="41" t="s">
        <v>111</v>
      </c>
      <c r="B52" s="42" t="s">
        <v>112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f t="shared" si="0"/>
        <v>0</v>
      </c>
      <c r="Q52" s="36"/>
    </row>
    <row r="53" spans="1:17" s="37" customFormat="1" ht="15" thickBot="1">
      <c r="A53" s="41" t="s">
        <v>113</v>
      </c>
      <c r="B53" s="42" t="s">
        <v>114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f t="shared" si="0"/>
        <v>0</v>
      </c>
      <c r="Q53" s="36"/>
    </row>
    <row r="54" spans="1:17" s="37" customFormat="1" ht="15" thickBot="1">
      <c r="A54" s="41" t="s">
        <v>115</v>
      </c>
      <c r="B54" s="42" t="s">
        <v>116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f t="shared" si="0"/>
        <v>0</v>
      </c>
      <c r="Q54" s="36"/>
    </row>
    <row r="55" spans="1:17" s="37" customFormat="1" ht="29.45" thickBot="1">
      <c r="A55" s="41" t="s">
        <v>117</v>
      </c>
      <c r="B55" s="42" t="s">
        <v>118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f t="shared" si="0"/>
        <v>0</v>
      </c>
      <c r="Q55" s="36"/>
    </row>
    <row r="56" spans="1:17" s="37" customFormat="1" ht="15" thickBot="1">
      <c r="A56" s="41" t="s">
        <v>119</v>
      </c>
      <c r="B56" s="42" t="s">
        <v>120</v>
      </c>
      <c r="C56" s="35">
        <v>0</v>
      </c>
      <c r="D56" s="35">
        <v>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f t="shared" si="0"/>
        <v>0</v>
      </c>
      <c r="Q56" s="36"/>
    </row>
    <row r="57" spans="1:17" s="37" customFormat="1" ht="15" thickBot="1">
      <c r="A57" s="41" t="s">
        <v>121</v>
      </c>
      <c r="B57" s="42" t="s">
        <v>122</v>
      </c>
      <c r="C57" s="35">
        <v>0</v>
      </c>
      <c r="D57" s="35">
        <v>0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f t="shared" si="0"/>
        <v>0</v>
      </c>
      <c r="Q57" s="36"/>
    </row>
    <row r="58" spans="1:17" s="37" customFormat="1" ht="29.45" thickBot="1">
      <c r="A58" s="41" t="s">
        <v>123</v>
      </c>
      <c r="B58" s="42" t="s">
        <v>124</v>
      </c>
      <c r="C58" s="35">
        <v>0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f t="shared" si="0"/>
        <v>0</v>
      </c>
      <c r="Q58" s="36"/>
    </row>
    <row r="59" spans="1:17" s="37" customFormat="1" ht="15" thickBot="1">
      <c r="A59" s="41" t="s">
        <v>125</v>
      </c>
      <c r="B59" s="42" t="s">
        <v>126</v>
      </c>
      <c r="C59" s="35">
        <v>0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f t="shared" si="0"/>
        <v>0</v>
      </c>
      <c r="Q59" s="36"/>
    </row>
    <row r="60" spans="1:17" s="37" customFormat="1" ht="15" thickBot="1">
      <c r="A60" s="41" t="s">
        <v>127</v>
      </c>
      <c r="B60" s="42" t="s">
        <v>128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f t="shared" si="0"/>
        <v>0</v>
      </c>
      <c r="Q60" s="36"/>
    </row>
    <row r="61" spans="1:17" s="37" customFormat="1" ht="15" thickBot="1">
      <c r="A61" s="41" t="s">
        <v>129</v>
      </c>
      <c r="B61" s="42" t="s">
        <v>130</v>
      </c>
      <c r="C61" s="35">
        <v>0</v>
      </c>
      <c r="D61" s="35">
        <v>0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f t="shared" si="0"/>
        <v>0</v>
      </c>
      <c r="Q61" s="36"/>
    </row>
    <row r="62" spans="1:17" s="37" customFormat="1" ht="29.45" thickBot="1">
      <c r="A62" s="41" t="s">
        <v>131</v>
      </c>
      <c r="B62" s="42" t="s">
        <v>132</v>
      </c>
      <c r="C62" s="35">
        <v>1</v>
      </c>
      <c r="D62" s="35">
        <v>1</v>
      </c>
      <c r="E62" s="35">
        <v>1</v>
      </c>
      <c r="F62" s="35">
        <v>1</v>
      </c>
      <c r="G62" s="35">
        <v>1</v>
      </c>
      <c r="H62" s="35">
        <v>1</v>
      </c>
      <c r="I62" s="35">
        <v>1</v>
      </c>
      <c r="J62" s="35">
        <v>1</v>
      </c>
      <c r="K62" s="35">
        <v>1</v>
      </c>
      <c r="L62" s="35">
        <v>1</v>
      </c>
      <c r="M62" s="35">
        <v>1</v>
      </c>
      <c r="N62" s="35">
        <v>1</v>
      </c>
      <c r="O62" s="35">
        <v>1</v>
      </c>
      <c r="P62" s="35">
        <f t="shared" si="0"/>
        <v>13</v>
      </c>
      <c r="Q62" s="36"/>
    </row>
    <row r="63" spans="1:17" s="37" customFormat="1" ht="15" thickBot="1">
      <c r="A63" s="41" t="s">
        <v>133</v>
      </c>
      <c r="B63" s="42" t="s">
        <v>134</v>
      </c>
      <c r="C63" s="35">
        <v>1</v>
      </c>
      <c r="D63" s="35">
        <v>1</v>
      </c>
      <c r="E63" s="35">
        <v>1</v>
      </c>
      <c r="F63" s="35">
        <v>1</v>
      </c>
      <c r="G63" s="35">
        <v>1</v>
      </c>
      <c r="H63" s="35">
        <v>1</v>
      </c>
      <c r="I63" s="35">
        <v>1</v>
      </c>
      <c r="J63" s="35">
        <v>1</v>
      </c>
      <c r="K63" s="35">
        <v>1</v>
      </c>
      <c r="L63" s="35">
        <v>1</v>
      </c>
      <c r="M63" s="35">
        <v>1</v>
      </c>
      <c r="N63" s="35">
        <v>1</v>
      </c>
      <c r="O63" s="35">
        <v>1</v>
      </c>
      <c r="P63" s="35">
        <f t="shared" ref="P63:P91" si="1">SUM(C63:O63)</f>
        <v>13</v>
      </c>
      <c r="Q63" s="36"/>
    </row>
    <row r="64" spans="1:17" s="37" customFormat="1" ht="15" thickBot="1">
      <c r="A64" s="43" t="s">
        <v>135</v>
      </c>
      <c r="B64" s="44" t="s">
        <v>136</v>
      </c>
      <c r="C64" s="35">
        <v>0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f t="shared" si="1"/>
        <v>0</v>
      </c>
      <c r="Q64" s="36"/>
    </row>
    <row r="65" spans="1:17" s="37" customFormat="1" ht="15" thickBot="1">
      <c r="A65" s="43" t="s">
        <v>137</v>
      </c>
      <c r="B65" s="44" t="s">
        <v>138</v>
      </c>
      <c r="C65" s="35">
        <v>0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f t="shared" si="1"/>
        <v>0</v>
      </c>
      <c r="Q65" s="36"/>
    </row>
    <row r="66" spans="1:17" s="37" customFormat="1" ht="15" thickBot="1">
      <c r="A66" s="43" t="s">
        <v>139</v>
      </c>
      <c r="B66" s="44" t="s">
        <v>140</v>
      </c>
      <c r="C66" s="35">
        <v>1</v>
      </c>
      <c r="D66" s="35">
        <v>1</v>
      </c>
      <c r="E66" s="35">
        <v>1</v>
      </c>
      <c r="F66" s="35">
        <v>1</v>
      </c>
      <c r="G66" s="35">
        <v>1</v>
      </c>
      <c r="H66" s="35">
        <v>1</v>
      </c>
      <c r="I66" s="35">
        <v>1</v>
      </c>
      <c r="J66" s="35">
        <v>1</v>
      </c>
      <c r="K66" s="35">
        <v>1</v>
      </c>
      <c r="L66" s="35">
        <v>1</v>
      </c>
      <c r="M66" s="35">
        <v>1</v>
      </c>
      <c r="N66" s="35">
        <v>1</v>
      </c>
      <c r="O66" s="35">
        <v>1</v>
      </c>
      <c r="P66" s="35">
        <f t="shared" si="1"/>
        <v>13</v>
      </c>
      <c r="Q66" s="36"/>
    </row>
    <row r="67" spans="1:17" s="37" customFormat="1" ht="15" thickBot="1">
      <c r="A67" s="43" t="s">
        <v>141</v>
      </c>
      <c r="B67" s="44" t="s">
        <v>142</v>
      </c>
      <c r="C67" s="35">
        <v>0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f t="shared" si="1"/>
        <v>0</v>
      </c>
      <c r="Q67" s="36"/>
    </row>
    <row r="68" spans="1:17" s="37" customFormat="1" ht="15" thickBot="1">
      <c r="A68" s="43" t="s">
        <v>143</v>
      </c>
      <c r="B68" s="44" t="s">
        <v>144</v>
      </c>
      <c r="C68" s="35">
        <v>0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f t="shared" si="1"/>
        <v>0</v>
      </c>
      <c r="Q68" s="36"/>
    </row>
    <row r="69" spans="1:17" s="37" customFormat="1" ht="15" thickBot="1">
      <c r="A69" s="43" t="s">
        <v>145</v>
      </c>
      <c r="B69" s="44" t="s">
        <v>146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f t="shared" si="1"/>
        <v>0</v>
      </c>
      <c r="Q69" s="36"/>
    </row>
    <row r="70" spans="1:17" s="37" customFormat="1" ht="15" thickBot="1">
      <c r="A70" s="43" t="s">
        <v>147</v>
      </c>
      <c r="B70" s="44" t="s">
        <v>148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f t="shared" si="1"/>
        <v>0</v>
      </c>
      <c r="Q70" s="36"/>
    </row>
    <row r="71" spans="1:17" s="37" customFormat="1" ht="15" thickBot="1">
      <c r="A71" s="43" t="s">
        <v>149</v>
      </c>
      <c r="B71" s="44" t="s">
        <v>150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f t="shared" si="1"/>
        <v>0</v>
      </c>
      <c r="Q71" s="36"/>
    </row>
    <row r="72" spans="1:17" s="37" customFormat="1" ht="15" thickBot="1">
      <c r="A72" s="43" t="s">
        <v>151</v>
      </c>
      <c r="B72" s="44" t="s">
        <v>152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f t="shared" si="1"/>
        <v>0</v>
      </c>
      <c r="Q72" s="36"/>
    </row>
    <row r="73" spans="1:17" s="37" customFormat="1" ht="15" thickBot="1">
      <c r="A73" s="43" t="s">
        <v>153</v>
      </c>
      <c r="B73" s="44" t="s">
        <v>154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f t="shared" si="1"/>
        <v>0</v>
      </c>
      <c r="Q73" s="36"/>
    </row>
    <row r="74" spans="1:17" s="37" customFormat="1" ht="15" thickBot="1">
      <c r="A74" s="43" t="s">
        <v>155</v>
      </c>
      <c r="B74" s="44" t="s">
        <v>156</v>
      </c>
      <c r="C74" s="35">
        <v>1</v>
      </c>
      <c r="D74" s="35">
        <v>1</v>
      </c>
      <c r="E74" s="35">
        <v>1</v>
      </c>
      <c r="F74" s="35">
        <v>1</v>
      </c>
      <c r="G74" s="35">
        <v>1</v>
      </c>
      <c r="H74" s="35">
        <v>1</v>
      </c>
      <c r="I74" s="35">
        <v>1</v>
      </c>
      <c r="J74" s="35">
        <v>1</v>
      </c>
      <c r="K74" s="35">
        <v>1</v>
      </c>
      <c r="L74" s="35">
        <v>1</v>
      </c>
      <c r="M74" s="35">
        <v>1</v>
      </c>
      <c r="N74" s="35">
        <v>1</v>
      </c>
      <c r="O74" s="35">
        <v>1</v>
      </c>
      <c r="P74" s="35">
        <f t="shared" si="1"/>
        <v>13</v>
      </c>
      <c r="Q74" s="36"/>
    </row>
    <row r="75" spans="1:17" s="37" customFormat="1" ht="15" thickBot="1">
      <c r="A75" s="43" t="s">
        <v>157</v>
      </c>
      <c r="B75" s="44" t="s">
        <v>158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f t="shared" si="1"/>
        <v>0</v>
      </c>
      <c r="Q75" s="36"/>
    </row>
    <row r="76" spans="1:17" s="37" customFormat="1" ht="15" thickBot="1">
      <c r="A76" s="43" t="s">
        <v>159</v>
      </c>
      <c r="B76" s="44" t="s">
        <v>160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f t="shared" si="1"/>
        <v>0</v>
      </c>
      <c r="Q76" s="36"/>
    </row>
    <row r="77" spans="1:17" s="37" customFormat="1" ht="15" thickBot="1">
      <c r="A77" s="43" t="s">
        <v>161</v>
      </c>
      <c r="B77" s="44" t="s">
        <v>162</v>
      </c>
      <c r="C77" s="35">
        <v>0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f t="shared" si="1"/>
        <v>0</v>
      </c>
      <c r="Q77" s="36"/>
    </row>
    <row r="78" spans="1:17" s="37" customFormat="1" ht="15" thickBot="1">
      <c r="A78" s="43" t="s">
        <v>163</v>
      </c>
      <c r="B78" s="44" t="s">
        <v>164</v>
      </c>
      <c r="C78" s="35">
        <v>1</v>
      </c>
      <c r="D78" s="35">
        <v>1</v>
      </c>
      <c r="E78" s="35">
        <v>1</v>
      </c>
      <c r="F78" s="35">
        <v>1</v>
      </c>
      <c r="G78" s="35">
        <v>1</v>
      </c>
      <c r="H78" s="35">
        <v>1</v>
      </c>
      <c r="I78" s="35">
        <v>1</v>
      </c>
      <c r="J78" s="35">
        <v>1</v>
      </c>
      <c r="K78" s="35">
        <v>1</v>
      </c>
      <c r="L78" s="35">
        <v>1</v>
      </c>
      <c r="M78" s="35">
        <v>1</v>
      </c>
      <c r="N78" s="35">
        <v>1</v>
      </c>
      <c r="O78" s="35">
        <v>1</v>
      </c>
      <c r="P78" s="35">
        <f t="shared" si="1"/>
        <v>13</v>
      </c>
      <c r="Q78" s="36"/>
    </row>
    <row r="79" spans="1:17" s="37" customFormat="1" ht="15" thickBot="1">
      <c r="A79" s="43" t="s">
        <v>165</v>
      </c>
      <c r="B79" s="44" t="s">
        <v>166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f t="shared" si="1"/>
        <v>0</v>
      </c>
      <c r="Q79" s="36"/>
    </row>
    <row r="80" spans="1:17" s="37" customFormat="1" ht="15" thickBot="1">
      <c r="A80" s="43" t="s">
        <v>167</v>
      </c>
      <c r="B80" s="44" t="s">
        <v>168</v>
      </c>
      <c r="C80" s="35">
        <v>0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f t="shared" si="1"/>
        <v>0</v>
      </c>
      <c r="Q80" s="36"/>
    </row>
    <row r="81" spans="1:17" s="37" customFormat="1" ht="15" thickBot="1">
      <c r="A81" s="43" t="s">
        <v>169</v>
      </c>
      <c r="B81" s="44" t="s">
        <v>170</v>
      </c>
      <c r="C81" s="35">
        <v>0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f t="shared" si="1"/>
        <v>0</v>
      </c>
      <c r="Q81" s="36"/>
    </row>
    <row r="82" spans="1:17" s="37" customFormat="1" ht="15" thickBot="1">
      <c r="A82" s="43" t="s">
        <v>171</v>
      </c>
      <c r="B82" s="44" t="s">
        <v>172</v>
      </c>
      <c r="C82" s="35">
        <v>0</v>
      </c>
      <c r="D82" s="35">
        <v>0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f t="shared" si="1"/>
        <v>0</v>
      </c>
      <c r="Q82" s="36"/>
    </row>
    <row r="83" spans="1:17" s="37" customFormat="1" ht="15" thickBot="1">
      <c r="A83" s="43" t="s">
        <v>173</v>
      </c>
      <c r="B83" s="44" t="s">
        <v>174</v>
      </c>
      <c r="C83" s="35">
        <v>1</v>
      </c>
      <c r="D83" s="35">
        <v>1</v>
      </c>
      <c r="E83" s="35">
        <v>1</v>
      </c>
      <c r="F83" s="35">
        <v>1</v>
      </c>
      <c r="G83" s="35">
        <v>1</v>
      </c>
      <c r="H83" s="35">
        <v>1</v>
      </c>
      <c r="I83" s="35">
        <v>1</v>
      </c>
      <c r="J83" s="35">
        <v>1</v>
      </c>
      <c r="K83" s="35">
        <v>1</v>
      </c>
      <c r="L83" s="35">
        <v>1</v>
      </c>
      <c r="M83" s="35">
        <v>1</v>
      </c>
      <c r="N83" s="35">
        <v>1</v>
      </c>
      <c r="O83" s="35">
        <v>1</v>
      </c>
      <c r="P83" s="35">
        <f t="shared" si="1"/>
        <v>13</v>
      </c>
      <c r="Q83" s="36"/>
    </row>
    <row r="84" spans="1:17" s="37" customFormat="1" ht="15" thickBot="1">
      <c r="A84" s="43" t="s">
        <v>175</v>
      </c>
      <c r="B84" s="44" t="s">
        <v>176</v>
      </c>
      <c r="C84" s="35">
        <v>0</v>
      </c>
      <c r="D84" s="35">
        <v>0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f t="shared" si="1"/>
        <v>0</v>
      </c>
      <c r="Q84" s="36"/>
    </row>
    <row r="85" spans="1:17" s="37" customFormat="1" ht="15" thickBot="1">
      <c r="A85" s="43" t="s">
        <v>177</v>
      </c>
      <c r="B85" s="44" t="s">
        <v>178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f t="shared" si="1"/>
        <v>0</v>
      </c>
      <c r="Q85" s="36"/>
    </row>
    <row r="86" spans="1:17" s="37" customFormat="1" ht="15" thickBot="1">
      <c r="A86" s="43" t="s">
        <v>179</v>
      </c>
      <c r="B86" s="44" t="s">
        <v>180</v>
      </c>
      <c r="C86" s="35">
        <v>0</v>
      </c>
      <c r="D86" s="35">
        <v>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f t="shared" si="1"/>
        <v>0</v>
      </c>
      <c r="Q86" s="36"/>
    </row>
    <row r="87" spans="1:17" s="37" customFormat="1" ht="15" thickBot="1">
      <c r="A87" s="43" t="s">
        <v>181</v>
      </c>
      <c r="B87" s="44" t="s">
        <v>182</v>
      </c>
      <c r="C87" s="35">
        <v>0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f t="shared" si="1"/>
        <v>0</v>
      </c>
      <c r="Q87" s="36"/>
    </row>
    <row r="88" spans="1:17" s="37" customFormat="1" ht="15" thickBot="1">
      <c r="A88" s="43" t="s">
        <v>183</v>
      </c>
      <c r="B88" s="44" t="s">
        <v>184</v>
      </c>
      <c r="C88" s="35">
        <v>0</v>
      </c>
      <c r="D88" s="35">
        <v>0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f t="shared" si="1"/>
        <v>0</v>
      </c>
      <c r="Q88" s="36"/>
    </row>
    <row r="89" spans="1:17" s="37" customFormat="1" ht="15" thickBot="1">
      <c r="A89" s="43" t="s">
        <v>185</v>
      </c>
      <c r="B89" s="44" t="s">
        <v>186</v>
      </c>
      <c r="C89" s="35">
        <v>0</v>
      </c>
      <c r="D89" s="35">
        <v>0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f t="shared" si="1"/>
        <v>0</v>
      </c>
      <c r="Q89" s="36"/>
    </row>
    <row r="90" spans="1:17" s="37" customFormat="1" ht="15" thickBot="1">
      <c r="A90" s="43" t="s">
        <v>187</v>
      </c>
      <c r="B90" s="44" t="s">
        <v>188</v>
      </c>
      <c r="C90" s="35">
        <v>0</v>
      </c>
      <c r="D90" s="35">
        <v>0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f t="shared" si="1"/>
        <v>0</v>
      </c>
      <c r="Q90" s="36"/>
    </row>
    <row r="91" spans="1:17" s="37" customFormat="1" ht="15" thickBot="1">
      <c r="A91" s="43" t="s">
        <v>189</v>
      </c>
      <c r="B91" s="44" t="s">
        <v>190</v>
      </c>
      <c r="C91" s="35">
        <v>0</v>
      </c>
      <c r="D91" s="35">
        <v>0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f t="shared" si="1"/>
        <v>0</v>
      </c>
      <c r="Q91" s="36"/>
    </row>
    <row r="92" spans="1:17" s="37" customFormat="1" ht="15" thickBot="1">
      <c r="A92" s="43" t="s">
        <v>191</v>
      </c>
      <c r="B92" s="44" t="s">
        <v>192</v>
      </c>
      <c r="C92" s="35">
        <v>0</v>
      </c>
      <c r="D92" s="35">
        <v>0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f t="shared" ref="P92:P155" si="2">SUM(C92:O92)</f>
        <v>0</v>
      </c>
    </row>
    <row r="93" spans="1:17" s="37" customFormat="1" ht="15" thickBot="1">
      <c r="A93" s="43" t="s">
        <v>193</v>
      </c>
      <c r="B93" s="44" t="s">
        <v>194</v>
      </c>
      <c r="C93" s="35">
        <v>0</v>
      </c>
      <c r="D93" s="35">
        <v>0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f t="shared" si="2"/>
        <v>0</v>
      </c>
    </row>
    <row r="94" spans="1:17" s="37" customFormat="1" ht="15" thickBot="1">
      <c r="A94" s="43" t="s">
        <v>195</v>
      </c>
      <c r="B94" s="44" t="s">
        <v>196</v>
      </c>
      <c r="C94" s="35">
        <v>0</v>
      </c>
      <c r="D94" s="35">
        <v>0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f t="shared" si="2"/>
        <v>0</v>
      </c>
    </row>
    <row r="95" spans="1:17" s="37" customFormat="1" ht="15" thickBot="1">
      <c r="A95" s="43" t="s">
        <v>197</v>
      </c>
      <c r="B95" s="44" t="s">
        <v>198</v>
      </c>
      <c r="C95" s="35">
        <v>0</v>
      </c>
      <c r="D95" s="35">
        <v>0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f t="shared" si="2"/>
        <v>0</v>
      </c>
    </row>
    <row r="96" spans="1:17" s="37" customFormat="1" ht="15" thickBot="1">
      <c r="A96" s="43" t="s">
        <v>199</v>
      </c>
      <c r="B96" s="44" t="s">
        <v>200</v>
      </c>
      <c r="C96" s="35">
        <v>0</v>
      </c>
      <c r="D96" s="35">
        <v>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f t="shared" si="2"/>
        <v>0</v>
      </c>
    </row>
    <row r="97" spans="1:16" s="37" customFormat="1" ht="15" thickBot="1">
      <c r="A97" s="43" t="s">
        <v>201</v>
      </c>
      <c r="B97" s="44" t="s">
        <v>202</v>
      </c>
      <c r="C97" s="35">
        <v>0</v>
      </c>
      <c r="D97" s="35">
        <v>0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f t="shared" si="2"/>
        <v>0</v>
      </c>
    </row>
    <row r="98" spans="1:16" s="37" customFormat="1" ht="15" thickBot="1">
      <c r="A98" s="43" t="s">
        <v>203</v>
      </c>
      <c r="B98" s="44" t="s">
        <v>204</v>
      </c>
      <c r="C98" s="35">
        <v>0</v>
      </c>
      <c r="D98" s="35">
        <v>0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f t="shared" si="2"/>
        <v>0</v>
      </c>
    </row>
    <row r="99" spans="1:16" s="37" customFormat="1" ht="15" thickBot="1">
      <c r="A99" s="43" t="s">
        <v>205</v>
      </c>
      <c r="B99" s="44" t="s">
        <v>206</v>
      </c>
      <c r="C99" s="35">
        <v>0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f t="shared" si="2"/>
        <v>0</v>
      </c>
    </row>
    <row r="100" spans="1:16" s="37" customFormat="1" ht="15" thickBot="1">
      <c r="A100" s="45" t="s">
        <v>207</v>
      </c>
      <c r="B100" s="46" t="s">
        <v>208</v>
      </c>
      <c r="C100" s="35">
        <v>0</v>
      </c>
      <c r="D100" s="35">
        <v>0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f t="shared" si="2"/>
        <v>0</v>
      </c>
    </row>
    <row r="101" spans="1:16" s="37" customFormat="1" ht="15" thickBot="1">
      <c r="A101" s="45" t="s">
        <v>209</v>
      </c>
      <c r="B101" s="46" t="s">
        <v>210</v>
      </c>
      <c r="C101" s="35">
        <v>0</v>
      </c>
      <c r="D101" s="35">
        <v>0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f t="shared" si="2"/>
        <v>0</v>
      </c>
    </row>
    <row r="102" spans="1:16" s="37" customFormat="1" ht="15" thickBot="1">
      <c r="A102" s="45" t="s">
        <v>211</v>
      </c>
      <c r="B102" s="46" t="s">
        <v>212</v>
      </c>
      <c r="C102" s="35">
        <v>1</v>
      </c>
      <c r="D102" s="35">
        <v>1</v>
      </c>
      <c r="E102" s="35">
        <v>1</v>
      </c>
      <c r="F102" s="35">
        <v>1</v>
      </c>
      <c r="G102" s="35">
        <v>1</v>
      </c>
      <c r="H102" s="35">
        <v>1</v>
      </c>
      <c r="I102" s="35">
        <v>1</v>
      </c>
      <c r="J102" s="35">
        <v>1</v>
      </c>
      <c r="K102" s="35">
        <v>1</v>
      </c>
      <c r="L102" s="35">
        <v>1</v>
      </c>
      <c r="M102" s="35">
        <v>1</v>
      </c>
      <c r="N102" s="35">
        <v>1</v>
      </c>
      <c r="O102" s="35">
        <v>1</v>
      </c>
      <c r="P102" s="35">
        <f t="shared" si="2"/>
        <v>13</v>
      </c>
    </row>
    <row r="103" spans="1:16" s="37" customFormat="1" ht="15" thickBot="1">
      <c r="A103" s="45" t="s">
        <v>213</v>
      </c>
      <c r="B103" s="46" t="s">
        <v>214</v>
      </c>
      <c r="C103" s="35">
        <v>0</v>
      </c>
      <c r="D103" s="35">
        <v>0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f t="shared" si="2"/>
        <v>0</v>
      </c>
    </row>
    <row r="104" spans="1:16" s="37" customFormat="1" ht="15" thickBot="1">
      <c r="A104" s="45" t="s">
        <v>215</v>
      </c>
      <c r="B104" s="46" t="s">
        <v>216</v>
      </c>
      <c r="C104" s="35">
        <v>0</v>
      </c>
      <c r="D104" s="35">
        <v>0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f t="shared" si="2"/>
        <v>0</v>
      </c>
    </row>
    <row r="105" spans="1:16" s="37" customFormat="1" ht="15" thickBot="1">
      <c r="A105" s="45" t="s">
        <v>217</v>
      </c>
      <c r="B105" s="46" t="s">
        <v>218</v>
      </c>
      <c r="C105" s="35">
        <v>0</v>
      </c>
      <c r="D105" s="35">
        <v>0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f t="shared" si="2"/>
        <v>0</v>
      </c>
    </row>
    <row r="106" spans="1:16" s="37" customFormat="1" ht="15" thickBot="1">
      <c r="A106" s="45" t="s">
        <v>219</v>
      </c>
      <c r="B106" s="46" t="s">
        <v>220</v>
      </c>
      <c r="C106" s="35">
        <v>0</v>
      </c>
      <c r="D106" s="35">
        <v>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f t="shared" si="2"/>
        <v>0</v>
      </c>
    </row>
    <row r="107" spans="1:16" s="37" customFormat="1" ht="15" thickBot="1">
      <c r="A107" s="45" t="s">
        <v>221</v>
      </c>
      <c r="B107" s="46" t="s">
        <v>222</v>
      </c>
      <c r="C107" s="35">
        <v>0</v>
      </c>
      <c r="D107" s="35">
        <v>0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f t="shared" si="2"/>
        <v>0</v>
      </c>
    </row>
    <row r="108" spans="1:16" s="37" customFormat="1" ht="15" thickBot="1">
      <c r="A108" s="45" t="s">
        <v>223</v>
      </c>
      <c r="B108" s="46" t="s">
        <v>224</v>
      </c>
      <c r="C108" s="35">
        <v>0</v>
      </c>
      <c r="D108" s="35">
        <v>0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f t="shared" si="2"/>
        <v>0</v>
      </c>
    </row>
    <row r="109" spans="1:16" s="37" customFormat="1" ht="15" thickBot="1">
      <c r="A109" s="45" t="s">
        <v>225</v>
      </c>
      <c r="B109" s="46" t="s">
        <v>226</v>
      </c>
      <c r="C109" s="35">
        <v>1</v>
      </c>
      <c r="D109" s="35">
        <v>1</v>
      </c>
      <c r="E109" s="35">
        <v>1</v>
      </c>
      <c r="F109" s="35">
        <v>1</v>
      </c>
      <c r="G109" s="35">
        <v>1</v>
      </c>
      <c r="H109" s="35">
        <v>1</v>
      </c>
      <c r="I109" s="35">
        <v>1</v>
      </c>
      <c r="J109" s="35">
        <v>1</v>
      </c>
      <c r="K109" s="35">
        <v>1</v>
      </c>
      <c r="L109" s="35">
        <v>1</v>
      </c>
      <c r="M109" s="35">
        <v>1</v>
      </c>
      <c r="N109" s="35">
        <v>1</v>
      </c>
      <c r="O109" s="35">
        <v>1</v>
      </c>
      <c r="P109" s="35">
        <f t="shared" si="2"/>
        <v>13</v>
      </c>
    </row>
    <row r="110" spans="1:16" s="37" customFormat="1" ht="15" thickBot="1">
      <c r="A110" s="45" t="s">
        <v>227</v>
      </c>
      <c r="B110" s="46" t="s">
        <v>228</v>
      </c>
      <c r="C110" s="35">
        <v>0</v>
      </c>
      <c r="D110" s="35">
        <v>0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f t="shared" si="2"/>
        <v>0</v>
      </c>
    </row>
    <row r="111" spans="1:16" s="37" customFormat="1" ht="15" thickBot="1">
      <c r="A111" s="45" t="s">
        <v>229</v>
      </c>
      <c r="B111" s="46" t="s">
        <v>230</v>
      </c>
      <c r="C111" s="35">
        <v>1</v>
      </c>
      <c r="D111" s="35">
        <v>1</v>
      </c>
      <c r="E111" s="35">
        <v>1</v>
      </c>
      <c r="F111" s="35">
        <v>1</v>
      </c>
      <c r="G111" s="35">
        <v>1</v>
      </c>
      <c r="H111" s="35">
        <v>1</v>
      </c>
      <c r="I111" s="35">
        <v>1</v>
      </c>
      <c r="J111" s="35">
        <v>1</v>
      </c>
      <c r="K111" s="35">
        <v>1</v>
      </c>
      <c r="L111" s="35">
        <v>1</v>
      </c>
      <c r="M111" s="35">
        <v>1</v>
      </c>
      <c r="N111" s="35">
        <v>1</v>
      </c>
      <c r="O111" s="35">
        <v>1</v>
      </c>
      <c r="P111" s="35">
        <f t="shared" si="2"/>
        <v>13</v>
      </c>
    </row>
    <row r="112" spans="1:16" s="37" customFormat="1" ht="15" thickBot="1">
      <c r="A112" s="45" t="s">
        <v>231</v>
      </c>
      <c r="B112" s="46" t="s">
        <v>232</v>
      </c>
      <c r="C112" s="35">
        <v>0</v>
      </c>
      <c r="D112" s="35">
        <v>0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f t="shared" si="2"/>
        <v>0</v>
      </c>
    </row>
    <row r="113" spans="1:16" s="37" customFormat="1" ht="15" thickBot="1">
      <c r="A113" s="45" t="s">
        <v>233</v>
      </c>
      <c r="B113" s="46" t="s">
        <v>234</v>
      </c>
      <c r="C113" s="35">
        <v>0</v>
      </c>
      <c r="D113" s="35">
        <v>0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f t="shared" si="2"/>
        <v>0</v>
      </c>
    </row>
    <row r="114" spans="1:16" s="37" customFormat="1" ht="15" thickBot="1">
      <c r="A114" s="45" t="s">
        <v>235</v>
      </c>
      <c r="B114" s="46" t="s">
        <v>236</v>
      </c>
      <c r="C114" s="35">
        <v>1</v>
      </c>
      <c r="D114" s="35">
        <v>1</v>
      </c>
      <c r="E114" s="35">
        <v>1</v>
      </c>
      <c r="F114" s="35">
        <v>1</v>
      </c>
      <c r="G114" s="35">
        <v>1</v>
      </c>
      <c r="H114" s="35">
        <v>1</v>
      </c>
      <c r="I114" s="35">
        <v>1</v>
      </c>
      <c r="J114" s="35">
        <v>1</v>
      </c>
      <c r="K114" s="35">
        <v>1</v>
      </c>
      <c r="L114" s="35">
        <v>1</v>
      </c>
      <c r="M114" s="35">
        <v>1</v>
      </c>
      <c r="N114" s="35">
        <v>1</v>
      </c>
      <c r="O114" s="35">
        <v>1</v>
      </c>
      <c r="P114" s="35">
        <f t="shared" si="2"/>
        <v>13</v>
      </c>
    </row>
    <row r="115" spans="1:16" s="37" customFormat="1" ht="15" thickBot="1">
      <c r="A115" s="45" t="s">
        <v>237</v>
      </c>
      <c r="B115" s="46" t="s">
        <v>238</v>
      </c>
      <c r="C115" s="35">
        <v>0</v>
      </c>
      <c r="D115" s="35">
        <v>0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f t="shared" si="2"/>
        <v>0</v>
      </c>
    </row>
    <row r="116" spans="1:16" s="37" customFormat="1" ht="15" thickBot="1">
      <c r="A116" s="45" t="s">
        <v>239</v>
      </c>
      <c r="B116" s="46" t="s">
        <v>240</v>
      </c>
      <c r="C116" s="35">
        <v>0</v>
      </c>
      <c r="D116" s="35">
        <v>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f t="shared" si="2"/>
        <v>0</v>
      </c>
    </row>
    <row r="117" spans="1:16" s="37" customFormat="1" ht="15" thickBot="1">
      <c r="A117" s="45" t="s">
        <v>241</v>
      </c>
      <c r="B117" s="46" t="s">
        <v>242</v>
      </c>
      <c r="C117" s="35">
        <v>1</v>
      </c>
      <c r="D117" s="35">
        <v>1</v>
      </c>
      <c r="E117" s="35">
        <v>1</v>
      </c>
      <c r="F117" s="35">
        <v>1</v>
      </c>
      <c r="G117" s="35">
        <v>1</v>
      </c>
      <c r="H117" s="35">
        <v>1</v>
      </c>
      <c r="I117" s="35">
        <v>1</v>
      </c>
      <c r="J117" s="35">
        <v>1</v>
      </c>
      <c r="K117" s="35">
        <v>1</v>
      </c>
      <c r="L117" s="35">
        <v>1</v>
      </c>
      <c r="M117" s="35">
        <v>1</v>
      </c>
      <c r="N117" s="35">
        <v>1</v>
      </c>
      <c r="O117" s="35">
        <v>1</v>
      </c>
      <c r="P117" s="35">
        <f t="shared" si="2"/>
        <v>13</v>
      </c>
    </row>
    <row r="118" spans="1:16" s="37" customFormat="1" ht="15" thickBot="1">
      <c r="A118" s="45" t="s">
        <v>243</v>
      </c>
      <c r="B118" s="46" t="s">
        <v>244</v>
      </c>
      <c r="C118" s="35">
        <v>0</v>
      </c>
      <c r="D118" s="35">
        <v>0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f t="shared" si="2"/>
        <v>0</v>
      </c>
    </row>
    <row r="119" spans="1:16" s="37" customFormat="1" ht="15" thickBot="1">
      <c r="A119" s="45" t="s">
        <v>245</v>
      </c>
      <c r="B119" s="46" t="s">
        <v>246</v>
      </c>
      <c r="C119" s="35">
        <v>0</v>
      </c>
      <c r="D119" s="35">
        <v>0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f t="shared" si="2"/>
        <v>0</v>
      </c>
    </row>
    <row r="120" spans="1:16" s="37" customFormat="1" ht="15" thickBot="1">
      <c r="A120" s="45" t="s">
        <v>247</v>
      </c>
      <c r="B120" s="46" t="s">
        <v>248</v>
      </c>
      <c r="C120" s="35">
        <v>1</v>
      </c>
      <c r="D120" s="35">
        <v>1</v>
      </c>
      <c r="E120" s="35">
        <v>1</v>
      </c>
      <c r="F120" s="35">
        <v>1</v>
      </c>
      <c r="G120" s="35">
        <v>1</v>
      </c>
      <c r="H120" s="35">
        <v>1</v>
      </c>
      <c r="I120" s="35">
        <v>1</v>
      </c>
      <c r="J120" s="35">
        <v>1</v>
      </c>
      <c r="K120" s="35">
        <v>1</v>
      </c>
      <c r="L120" s="35">
        <v>1</v>
      </c>
      <c r="M120" s="35">
        <v>1</v>
      </c>
      <c r="N120" s="35">
        <v>1</v>
      </c>
      <c r="O120" s="35">
        <v>1</v>
      </c>
      <c r="P120" s="35">
        <f t="shared" si="2"/>
        <v>13</v>
      </c>
    </row>
    <row r="121" spans="1:16" s="37" customFormat="1" ht="15" thickBot="1">
      <c r="A121" s="45" t="s">
        <v>249</v>
      </c>
      <c r="B121" s="46" t="s">
        <v>250</v>
      </c>
      <c r="C121" s="35">
        <v>0</v>
      </c>
      <c r="D121" s="35">
        <v>0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f t="shared" si="2"/>
        <v>0</v>
      </c>
    </row>
    <row r="122" spans="1:16" s="37" customFormat="1" ht="15" thickBot="1">
      <c r="A122" s="45" t="s">
        <v>251</v>
      </c>
      <c r="B122" s="46" t="s">
        <v>252</v>
      </c>
      <c r="C122" s="35">
        <v>0</v>
      </c>
      <c r="D122" s="35">
        <v>0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f t="shared" si="2"/>
        <v>0</v>
      </c>
    </row>
    <row r="123" spans="1:16" s="37" customFormat="1" ht="15" thickBot="1">
      <c r="A123" s="45" t="s">
        <v>253</v>
      </c>
      <c r="B123" s="46" t="s">
        <v>254</v>
      </c>
      <c r="C123" s="35">
        <v>0</v>
      </c>
      <c r="D123" s="35">
        <v>0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f t="shared" si="2"/>
        <v>0</v>
      </c>
    </row>
    <row r="124" spans="1:16" s="37" customFormat="1" ht="15" thickBot="1">
      <c r="A124" s="47" t="s">
        <v>255</v>
      </c>
      <c r="B124" s="48" t="s">
        <v>256</v>
      </c>
      <c r="C124" s="35">
        <v>0</v>
      </c>
      <c r="D124" s="35">
        <v>0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f t="shared" si="2"/>
        <v>0</v>
      </c>
    </row>
    <row r="125" spans="1:16" s="37" customFormat="1" ht="15" thickBot="1">
      <c r="A125" s="47" t="s">
        <v>257</v>
      </c>
      <c r="B125" s="48" t="s">
        <v>258</v>
      </c>
      <c r="C125" s="35">
        <v>0</v>
      </c>
      <c r="D125" s="35">
        <v>0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f t="shared" si="2"/>
        <v>0</v>
      </c>
    </row>
    <row r="126" spans="1:16" s="37" customFormat="1" ht="15" thickBot="1">
      <c r="A126" s="47" t="s">
        <v>259</v>
      </c>
      <c r="B126" s="48" t="s">
        <v>260</v>
      </c>
      <c r="C126" s="35">
        <v>0</v>
      </c>
      <c r="D126" s="35">
        <v>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f t="shared" si="2"/>
        <v>0</v>
      </c>
    </row>
    <row r="127" spans="1:16" s="37" customFormat="1" ht="15" thickBot="1">
      <c r="A127" s="47" t="s">
        <v>261</v>
      </c>
      <c r="B127" s="48" t="s">
        <v>262</v>
      </c>
      <c r="C127" s="35">
        <v>0</v>
      </c>
      <c r="D127" s="35">
        <v>0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f t="shared" si="2"/>
        <v>0</v>
      </c>
    </row>
    <row r="128" spans="1:16" s="37" customFormat="1" ht="15" thickBot="1">
      <c r="A128" s="47" t="s">
        <v>263</v>
      </c>
      <c r="B128" s="48" t="s">
        <v>264</v>
      </c>
      <c r="C128" s="35">
        <v>0</v>
      </c>
      <c r="D128" s="35">
        <v>0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f t="shared" si="2"/>
        <v>0</v>
      </c>
    </row>
    <row r="129" spans="1:16" s="37" customFormat="1" ht="15" thickBot="1">
      <c r="A129" s="47" t="s">
        <v>265</v>
      </c>
      <c r="B129" s="48" t="s">
        <v>266</v>
      </c>
      <c r="C129" s="35">
        <v>0</v>
      </c>
      <c r="D129" s="35">
        <v>0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f t="shared" si="2"/>
        <v>0</v>
      </c>
    </row>
    <row r="130" spans="1:16" s="37" customFormat="1" ht="15" thickBot="1">
      <c r="A130" s="47" t="s">
        <v>267</v>
      </c>
      <c r="B130" s="48" t="s">
        <v>268</v>
      </c>
      <c r="C130" s="35">
        <v>0</v>
      </c>
      <c r="D130" s="35">
        <v>0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f t="shared" si="2"/>
        <v>0</v>
      </c>
    </row>
    <row r="131" spans="1:16" s="37" customFormat="1" ht="15" thickBot="1">
      <c r="A131" s="47" t="s">
        <v>269</v>
      </c>
      <c r="B131" s="48" t="s">
        <v>270</v>
      </c>
      <c r="C131" s="35">
        <v>0</v>
      </c>
      <c r="D131" s="35">
        <v>0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f t="shared" si="2"/>
        <v>0</v>
      </c>
    </row>
    <row r="132" spans="1:16" s="37" customFormat="1" ht="15" thickBot="1">
      <c r="A132" s="47" t="s">
        <v>271</v>
      </c>
      <c r="B132" s="48" t="s">
        <v>272</v>
      </c>
      <c r="C132" s="35">
        <v>0</v>
      </c>
      <c r="D132" s="35">
        <v>0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f t="shared" si="2"/>
        <v>0</v>
      </c>
    </row>
    <row r="133" spans="1:16" s="37" customFormat="1" ht="15" thickBot="1">
      <c r="A133" s="47" t="s">
        <v>273</v>
      </c>
      <c r="B133" s="48" t="s">
        <v>274</v>
      </c>
      <c r="C133" s="35">
        <v>0</v>
      </c>
      <c r="D133" s="35">
        <v>0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f t="shared" si="2"/>
        <v>0</v>
      </c>
    </row>
    <row r="134" spans="1:16" s="37" customFormat="1" ht="15" thickBot="1">
      <c r="A134" s="47" t="s">
        <v>275</v>
      </c>
      <c r="B134" s="48" t="s">
        <v>276</v>
      </c>
      <c r="C134" s="35">
        <v>0</v>
      </c>
      <c r="D134" s="35">
        <v>0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f t="shared" si="2"/>
        <v>0</v>
      </c>
    </row>
    <row r="135" spans="1:16" s="37" customFormat="1" ht="15" thickBot="1">
      <c r="A135" s="47" t="s">
        <v>277</v>
      </c>
      <c r="B135" s="48" t="s">
        <v>278</v>
      </c>
      <c r="C135" s="35">
        <v>0</v>
      </c>
      <c r="D135" s="35">
        <v>0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f t="shared" si="2"/>
        <v>0</v>
      </c>
    </row>
    <row r="136" spans="1:16" s="37" customFormat="1" ht="15" thickBot="1">
      <c r="A136" s="47" t="s">
        <v>279</v>
      </c>
      <c r="B136" s="48" t="s">
        <v>280</v>
      </c>
      <c r="C136" s="35">
        <v>0</v>
      </c>
      <c r="D136" s="35">
        <v>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f t="shared" si="2"/>
        <v>0</v>
      </c>
    </row>
    <row r="137" spans="1:16" s="37" customFormat="1" ht="15" thickBot="1">
      <c r="A137" s="47" t="s">
        <v>281</v>
      </c>
      <c r="B137" s="48" t="s">
        <v>282</v>
      </c>
      <c r="C137" s="35">
        <v>0</v>
      </c>
      <c r="D137" s="35">
        <v>0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f t="shared" si="2"/>
        <v>0</v>
      </c>
    </row>
    <row r="138" spans="1:16" s="37" customFormat="1" ht="15" thickBot="1">
      <c r="A138" s="47" t="s">
        <v>283</v>
      </c>
      <c r="B138" s="48" t="s">
        <v>284</v>
      </c>
      <c r="C138" s="35">
        <v>0</v>
      </c>
      <c r="D138" s="35">
        <v>0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f t="shared" si="2"/>
        <v>0</v>
      </c>
    </row>
    <row r="139" spans="1:16" s="37" customFormat="1" ht="15" thickBot="1">
      <c r="A139" s="47" t="s">
        <v>285</v>
      </c>
      <c r="B139" s="48" t="s">
        <v>286</v>
      </c>
      <c r="C139" s="35">
        <v>0</v>
      </c>
      <c r="D139" s="35">
        <v>0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f t="shared" si="2"/>
        <v>0</v>
      </c>
    </row>
    <row r="140" spans="1:16" s="37" customFormat="1" ht="15" thickBot="1">
      <c r="A140" s="47" t="s">
        <v>287</v>
      </c>
      <c r="B140" s="48" t="s">
        <v>288</v>
      </c>
      <c r="C140" s="35">
        <v>0</v>
      </c>
      <c r="D140" s="35">
        <v>0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f t="shared" si="2"/>
        <v>0</v>
      </c>
    </row>
    <row r="141" spans="1:16" s="37" customFormat="1" ht="15" thickBot="1">
      <c r="A141" s="47" t="s">
        <v>289</v>
      </c>
      <c r="B141" s="48" t="s">
        <v>290</v>
      </c>
      <c r="C141" s="35">
        <v>0</v>
      </c>
      <c r="D141" s="35">
        <v>0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f t="shared" si="2"/>
        <v>0</v>
      </c>
    </row>
    <row r="142" spans="1:16" s="37" customFormat="1" ht="15" thickBot="1">
      <c r="A142" s="47" t="s">
        <v>291</v>
      </c>
      <c r="B142" s="48" t="s">
        <v>292</v>
      </c>
      <c r="C142" s="35">
        <v>0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f t="shared" si="2"/>
        <v>0</v>
      </c>
    </row>
    <row r="143" spans="1:16" s="37" customFormat="1" ht="15" thickBot="1">
      <c r="A143" s="47" t="s">
        <v>293</v>
      </c>
      <c r="B143" s="48" t="s">
        <v>294</v>
      </c>
      <c r="C143" s="35">
        <v>0</v>
      </c>
      <c r="D143" s="35">
        <v>0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f t="shared" si="2"/>
        <v>0</v>
      </c>
    </row>
    <row r="144" spans="1:16" s="37" customFormat="1" ht="15" thickBot="1">
      <c r="A144" s="47" t="s">
        <v>295</v>
      </c>
      <c r="B144" s="48" t="s">
        <v>296</v>
      </c>
      <c r="C144" s="35">
        <v>0</v>
      </c>
      <c r="D144" s="35">
        <v>0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f t="shared" si="2"/>
        <v>0</v>
      </c>
    </row>
    <row r="145" spans="1:16" s="37" customFormat="1" ht="15" thickBot="1">
      <c r="A145" s="47" t="s">
        <v>297</v>
      </c>
      <c r="B145" s="48" t="s">
        <v>298</v>
      </c>
      <c r="C145" s="35">
        <v>0</v>
      </c>
      <c r="D145" s="35">
        <v>0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f t="shared" si="2"/>
        <v>0</v>
      </c>
    </row>
    <row r="146" spans="1:16" s="37" customFormat="1" ht="15" thickBot="1">
      <c r="A146" s="47" t="s">
        <v>299</v>
      </c>
      <c r="B146" s="48" t="s">
        <v>300</v>
      </c>
      <c r="C146" s="35">
        <v>0</v>
      </c>
      <c r="D146" s="35">
        <v>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f t="shared" si="2"/>
        <v>0</v>
      </c>
    </row>
    <row r="147" spans="1:16" s="37" customFormat="1" ht="15" thickBot="1">
      <c r="A147" s="47" t="s">
        <v>301</v>
      </c>
      <c r="B147" s="48" t="s">
        <v>302</v>
      </c>
      <c r="C147" s="35">
        <v>0</v>
      </c>
      <c r="D147" s="35">
        <v>0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f t="shared" si="2"/>
        <v>0</v>
      </c>
    </row>
    <row r="148" spans="1:16" s="37" customFormat="1" ht="15" thickBot="1">
      <c r="A148" s="47" t="s">
        <v>303</v>
      </c>
      <c r="B148" s="48" t="s">
        <v>304</v>
      </c>
      <c r="C148" s="35">
        <v>0</v>
      </c>
      <c r="D148" s="35">
        <v>0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f t="shared" si="2"/>
        <v>0</v>
      </c>
    </row>
    <row r="149" spans="1:16" s="37" customFormat="1" ht="15" thickBot="1">
      <c r="A149" s="47" t="s">
        <v>305</v>
      </c>
      <c r="B149" s="48" t="s">
        <v>306</v>
      </c>
      <c r="C149" s="35">
        <v>1</v>
      </c>
      <c r="D149" s="35">
        <v>1</v>
      </c>
      <c r="E149" s="35">
        <v>1</v>
      </c>
      <c r="F149" s="35">
        <v>1</v>
      </c>
      <c r="G149" s="35">
        <v>1</v>
      </c>
      <c r="H149" s="35">
        <v>1</v>
      </c>
      <c r="I149" s="35">
        <v>1</v>
      </c>
      <c r="J149" s="35">
        <v>1</v>
      </c>
      <c r="K149" s="35">
        <v>1</v>
      </c>
      <c r="L149" s="35">
        <v>1</v>
      </c>
      <c r="M149" s="35">
        <v>1</v>
      </c>
      <c r="N149" s="35">
        <v>1</v>
      </c>
      <c r="O149" s="35">
        <v>1</v>
      </c>
      <c r="P149" s="35">
        <f t="shared" si="2"/>
        <v>13</v>
      </c>
    </row>
    <row r="150" spans="1:16" s="37" customFormat="1" ht="15" thickBot="1">
      <c r="A150" s="47" t="s">
        <v>307</v>
      </c>
      <c r="B150" s="48" t="s">
        <v>308</v>
      </c>
      <c r="C150" s="35">
        <v>0</v>
      </c>
      <c r="D150" s="35">
        <v>0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f t="shared" si="2"/>
        <v>0</v>
      </c>
    </row>
    <row r="151" spans="1:16" s="37" customFormat="1" ht="15" thickBot="1">
      <c r="A151" s="47" t="s">
        <v>309</v>
      </c>
      <c r="B151" s="48" t="s">
        <v>310</v>
      </c>
      <c r="C151" s="35">
        <v>0</v>
      </c>
      <c r="D151" s="35">
        <v>0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f t="shared" si="2"/>
        <v>0</v>
      </c>
    </row>
    <row r="152" spans="1:16" s="37" customFormat="1" ht="15" thickBot="1">
      <c r="A152" s="47" t="s">
        <v>311</v>
      </c>
      <c r="B152" s="48" t="s">
        <v>312</v>
      </c>
      <c r="C152" s="35">
        <v>0</v>
      </c>
      <c r="D152" s="35">
        <v>0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f t="shared" si="2"/>
        <v>0</v>
      </c>
    </row>
    <row r="153" spans="1:16" s="37" customFormat="1" ht="15" thickBot="1">
      <c r="A153" s="47" t="s">
        <v>313</v>
      </c>
      <c r="B153" s="48" t="s">
        <v>314</v>
      </c>
      <c r="C153" s="35">
        <v>0</v>
      </c>
      <c r="D153" s="35">
        <v>0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f t="shared" si="2"/>
        <v>0</v>
      </c>
    </row>
    <row r="154" spans="1:16" s="37" customFormat="1" ht="15" thickBot="1">
      <c r="A154" s="47" t="s">
        <v>315</v>
      </c>
      <c r="B154" s="48" t="s">
        <v>316</v>
      </c>
      <c r="C154" s="35">
        <v>0</v>
      </c>
      <c r="D154" s="35">
        <v>0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f t="shared" si="2"/>
        <v>0</v>
      </c>
    </row>
    <row r="155" spans="1:16" s="37" customFormat="1" ht="15" thickBot="1">
      <c r="A155" s="47" t="s">
        <v>317</v>
      </c>
      <c r="B155" s="48" t="s">
        <v>318</v>
      </c>
      <c r="C155" s="35">
        <v>0</v>
      </c>
      <c r="D155" s="35">
        <v>0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f t="shared" si="2"/>
        <v>0</v>
      </c>
    </row>
    <row r="156" spans="1:16" s="37" customFormat="1" ht="15" thickBot="1">
      <c r="A156" s="47" t="s">
        <v>319</v>
      </c>
      <c r="B156" s="48" t="s">
        <v>320</v>
      </c>
      <c r="C156" s="35">
        <v>0</v>
      </c>
      <c r="D156" s="35">
        <v>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f t="shared" ref="P156:P219" si="3">SUM(C156:O156)</f>
        <v>0</v>
      </c>
    </row>
    <row r="157" spans="1:16" s="37" customFormat="1" ht="15" thickBot="1">
      <c r="A157" s="47" t="s">
        <v>321</v>
      </c>
      <c r="B157" s="48" t="s">
        <v>322</v>
      </c>
      <c r="C157" s="35">
        <v>0</v>
      </c>
      <c r="D157" s="35">
        <v>0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f t="shared" si="3"/>
        <v>0</v>
      </c>
    </row>
    <row r="158" spans="1:16" s="37" customFormat="1" ht="15" thickBot="1">
      <c r="A158" s="47" t="s">
        <v>323</v>
      </c>
      <c r="B158" s="48" t="s">
        <v>324</v>
      </c>
      <c r="C158" s="35">
        <v>0</v>
      </c>
      <c r="D158" s="35">
        <v>0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f t="shared" si="3"/>
        <v>0</v>
      </c>
    </row>
    <row r="159" spans="1:16" s="37" customFormat="1" ht="15" thickBot="1">
      <c r="A159" s="47" t="s">
        <v>325</v>
      </c>
      <c r="B159" s="48" t="s">
        <v>326</v>
      </c>
      <c r="C159" s="35">
        <v>0</v>
      </c>
      <c r="D159" s="35">
        <v>0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f t="shared" si="3"/>
        <v>0</v>
      </c>
    </row>
    <row r="160" spans="1:16" s="37" customFormat="1" ht="15" thickBot="1">
      <c r="A160" s="47" t="s">
        <v>327</v>
      </c>
      <c r="B160" s="48" t="s">
        <v>328</v>
      </c>
      <c r="C160" s="35">
        <v>1</v>
      </c>
      <c r="D160" s="35">
        <v>1</v>
      </c>
      <c r="E160" s="35">
        <v>1</v>
      </c>
      <c r="F160" s="35">
        <v>1</v>
      </c>
      <c r="G160" s="35">
        <v>1</v>
      </c>
      <c r="H160" s="35">
        <v>1</v>
      </c>
      <c r="I160" s="35">
        <v>1</v>
      </c>
      <c r="J160" s="35">
        <v>1</v>
      </c>
      <c r="K160" s="35">
        <v>1</v>
      </c>
      <c r="L160" s="35">
        <v>1</v>
      </c>
      <c r="M160" s="35">
        <v>1</v>
      </c>
      <c r="N160" s="35">
        <v>1</v>
      </c>
      <c r="O160" s="35">
        <v>1</v>
      </c>
      <c r="P160" s="35">
        <f t="shared" si="3"/>
        <v>13</v>
      </c>
    </row>
    <row r="161" spans="1:16" s="37" customFormat="1" ht="15" thickBot="1">
      <c r="A161" s="47" t="s">
        <v>329</v>
      </c>
      <c r="B161" s="48" t="s">
        <v>330</v>
      </c>
      <c r="C161" s="35">
        <v>0</v>
      </c>
      <c r="D161" s="35">
        <v>0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f t="shared" si="3"/>
        <v>0</v>
      </c>
    </row>
    <row r="162" spans="1:16" s="37" customFormat="1" ht="15" thickBot="1">
      <c r="A162" s="47" t="s">
        <v>331</v>
      </c>
      <c r="B162" s="48" t="s">
        <v>270</v>
      </c>
      <c r="C162" s="35">
        <v>0</v>
      </c>
      <c r="D162" s="35">
        <v>0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f t="shared" si="3"/>
        <v>0</v>
      </c>
    </row>
    <row r="163" spans="1:16" s="37" customFormat="1" ht="15" thickBot="1">
      <c r="A163" s="47" t="s">
        <v>332</v>
      </c>
      <c r="B163" s="48" t="s">
        <v>333</v>
      </c>
      <c r="C163" s="35">
        <v>0</v>
      </c>
      <c r="D163" s="35">
        <v>0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f t="shared" si="3"/>
        <v>0</v>
      </c>
    </row>
    <row r="164" spans="1:16" s="37" customFormat="1" ht="15" thickBot="1">
      <c r="A164" s="47" t="s">
        <v>334</v>
      </c>
      <c r="B164" s="48" t="s">
        <v>335</v>
      </c>
      <c r="C164" s="35">
        <v>0</v>
      </c>
      <c r="D164" s="35">
        <v>0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f t="shared" si="3"/>
        <v>0</v>
      </c>
    </row>
    <row r="165" spans="1:16" s="37" customFormat="1" ht="15" thickBot="1">
      <c r="A165" s="47" t="s">
        <v>336</v>
      </c>
      <c r="B165" s="48" t="s">
        <v>337</v>
      </c>
      <c r="C165" s="35">
        <v>0</v>
      </c>
      <c r="D165" s="35">
        <v>0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f t="shared" si="3"/>
        <v>0</v>
      </c>
    </row>
    <row r="166" spans="1:16" s="37" customFormat="1" ht="15" thickBot="1">
      <c r="A166" s="47" t="s">
        <v>338</v>
      </c>
      <c r="B166" s="48" t="s">
        <v>339</v>
      </c>
      <c r="C166" s="35">
        <v>0</v>
      </c>
      <c r="D166" s="35">
        <v>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f t="shared" si="3"/>
        <v>0</v>
      </c>
    </row>
    <row r="167" spans="1:16" s="37" customFormat="1" ht="15" thickBot="1">
      <c r="A167" s="47" t="s">
        <v>340</v>
      </c>
      <c r="B167" s="48" t="s">
        <v>341</v>
      </c>
      <c r="C167" s="35">
        <v>0</v>
      </c>
      <c r="D167" s="35">
        <v>0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f t="shared" si="3"/>
        <v>0</v>
      </c>
    </row>
    <row r="168" spans="1:16" s="37" customFormat="1" ht="15" thickBot="1">
      <c r="A168" s="47" t="s">
        <v>342</v>
      </c>
      <c r="B168" s="48" t="s">
        <v>343</v>
      </c>
      <c r="C168" s="35">
        <v>0</v>
      </c>
      <c r="D168" s="35">
        <v>0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f t="shared" si="3"/>
        <v>0</v>
      </c>
    </row>
    <row r="169" spans="1:16" s="37" customFormat="1" ht="15" thickBot="1">
      <c r="A169" s="47" t="s">
        <v>344</v>
      </c>
      <c r="B169" s="48" t="s">
        <v>345</v>
      </c>
      <c r="C169" s="35">
        <v>0</v>
      </c>
      <c r="D169" s="35">
        <v>0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f t="shared" si="3"/>
        <v>0</v>
      </c>
    </row>
    <row r="170" spans="1:16" s="37" customFormat="1" ht="15" thickBot="1">
      <c r="A170" s="47" t="s">
        <v>346</v>
      </c>
      <c r="B170" s="48" t="s">
        <v>347</v>
      </c>
      <c r="C170" s="35">
        <v>0</v>
      </c>
      <c r="D170" s="35">
        <v>0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f t="shared" si="3"/>
        <v>0</v>
      </c>
    </row>
    <row r="171" spans="1:16" s="37" customFormat="1" ht="15" thickBot="1">
      <c r="A171" s="47" t="s">
        <v>348</v>
      </c>
      <c r="B171" s="48" t="s">
        <v>349</v>
      </c>
      <c r="C171" s="35">
        <v>0</v>
      </c>
      <c r="D171" s="35">
        <v>0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f t="shared" si="3"/>
        <v>0</v>
      </c>
    </row>
    <row r="172" spans="1:16" s="37" customFormat="1" ht="15" thickBot="1">
      <c r="A172" s="47" t="s">
        <v>350</v>
      </c>
      <c r="B172" s="48" t="s">
        <v>330</v>
      </c>
      <c r="C172" s="35">
        <v>0</v>
      </c>
      <c r="D172" s="35">
        <v>0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f t="shared" si="3"/>
        <v>0</v>
      </c>
    </row>
    <row r="173" spans="1:16" s="37" customFormat="1" ht="15" thickBot="1">
      <c r="A173" s="47" t="s">
        <v>351</v>
      </c>
      <c r="B173" s="48" t="s">
        <v>352</v>
      </c>
      <c r="C173" s="35">
        <v>0</v>
      </c>
      <c r="D173" s="35">
        <v>0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f t="shared" si="3"/>
        <v>0</v>
      </c>
    </row>
    <row r="174" spans="1:16" s="37" customFormat="1" ht="15" thickBot="1">
      <c r="A174" s="47" t="s">
        <v>353</v>
      </c>
      <c r="B174" s="48" t="s">
        <v>354</v>
      </c>
      <c r="C174" s="35">
        <v>0</v>
      </c>
      <c r="D174" s="35">
        <v>0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f t="shared" si="3"/>
        <v>0</v>
      </c>
    </row>
    <row r="175" spans="1:16" s="37" customFormat="1" ht="15" thickBot="1">
      <c r="A175" s="47" t="s">
        <v>355</v>
      </c>
      <c r="B175" s="48" t="s">
        <v>356</v>
      </c>
      <c r="C175" s="35">
        <v>0</v>
      </c>
      <c r="D175" s="35">
        <v>0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f t="shared" si="3"/>
        <v>0</v>
      </c>
    </row>
    <row r="176" spans="1:16" s="37" customFormat="1" ht="15" thickBot="1">
      <c r="A176" s="47" t="s">
        <v>357</v>
      </c>
      <c r="B176" s="48" t="s">
        <v>358</v>
      </c>
      <c r="C176" s="35">
        <v>0</v>
      </c>
      <c r="D176" s="35">
        <v>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f t="shared" si="3"/>
        <v>0</v>
      </c>
    </row>
    <row r="177" spans="1:16" s="37" customFormat="1" ht="15" thickBot="1">
      <c r="A177" s="47" t="s">
        <v>359</v>
      </c>
      <c r="B177" s="48" t="s">
        <v>360</v>
      </c>
      <c r="C177" s="35">
        <v>0</v>
      </c>
      <c r="D177" s="35">
        <v>0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f t="shared" si="3"/>
        <v>0</v>
      </c>
    </row>
    <row r="178" spans="1:16" s="37" customFormat="1" ht="15" thickBot="1">
      <c r="A178" s="47" t="s">
        <v>361</v>
      </c>
      <c r="B178" s="48" t="s">
        <v>362</v>
      </c>
      <c r="C178" s="35">
        <v>0</v>
      </c>
      <c r="D178" s="35">
        <v>0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f t="shared" si="3"/>
        <v>0</v>
      </c>
    </row>
    <row r="179" spans="1:16" s="37" customFormat="1" ht="15" thickBot="1">
      <c r="A179" s="47" t="s">
        <v>363</v>
      </c>
      <c r="B179" s="48" t="s">
        <v>364</v>
      </c>
      <c r="C179" s="35">
        <v>0</v>
      </c>
      <c r="D179" s="35">
        <v>0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f t="shared" si="3"/>
        <v>0</v>
      </c>
    </row>
    <row r="180" spans="1:16" s="37" customFormat="1" ht="15" thickBot="1">
      <c r="A180" s="47" t="s">
        <v>365</v>
      </c>
      <c r="B180" s="48" t="s">
        <v>366</v>
      </c>
      <c r="C180" s="35">
        <v>0</v>
      </c>
      <c r="D180" s="35">
        <v>0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f t="shared" si="3"/>
        <v>0</v>
      </c>
    </row>
    <row r="181" spans="1:16" s="37" customFormat="1" ht="15" thickBot="1">
      <c r="A181" s="47" t="s">
        <v>367</v>
      </c>
      <c r="B181" s="48" t="s">
        <v>368</v>
      </c>
      <c r="C181" s="35">
        <v>0</v>
      </c>
      <c r="D181" s="35">
        <v>0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f t="shared" si="3"/>
        <v>0</v>
      </c>
    </row>
    <row r="182" spans="1:16" s="37" customFormat="1" ht="15" thickBot="1">
      <c r="A182" s="49" t="s">
        <v>369</v>
      </c>
      <c r="B182" s="50" t="s">
        <v>370</v>
      </c>
      <c r="C182" s="35">
        <v>0</v>
      </c>
      <c r="D182" s="35">
        <v>0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f t="shared" si="3"/>
        <v>0</v>
      </c>
    </row>
    <row r="183" spans="1:16" s="37" customFormat="1" ht="15" thickBot="1">
      <c r="A183" s="49" t="s">
        <v>371</v>
      </c>
      <c r="B183" s="50" t="s">
        <v>152</v>
      </c>
      <c r="C183" s="35">
        <v>0</v>
      </c>
      <c r="D183" s="35">
        <v>0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f t="shared" si="3"/>
        <v>0</v>
      </c>
    </row>
    <row r="184" spans="1:16" s="37" customFormat="1" ht="15" thickBot="1">
      <c r="A184" s="49" t="s">
        <v>372</v>
      </c>
      <c r="B184" s="50" t="s">
        <v>373</v>
      </c>
      <c r="C184" s="35">
        <v>0</v>
      </c>
      <c r="D184" s="35">
        <v>0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f t="shared" si="3"/>
        <v>0</v>
      </c>
    </row>
    <row r="185" spans="1:16" s="37" customFormat="1" ht="15" thickBot="1">
      <c r="A185" s="49" t="s">
        <v>374</v>
      </c>
      <c r="B185" s="50" t="s">
        <v>375</v>
      </c>
      <c r="C185" s="35">
        <v>0</v>
      </c>
      <c r="D185" s="35">
        <v>0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f t="shared" si="3"/>
        <v>0</v>
      </c>
    </row>
    <row r="186" spans="1:16" s="37" customFormat="1" ht="15" thickBot="1">
      <c r="A186" s="49" t="s">
        <v>376</v>
      </c>
      <c r="B186" s="50" t="s">
        <v>377</v>
      </c>
      <c r="C186" s="35">
        <v>0</v>
      </c>
      <c r="D186" s="35">
        <v>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f t="shared" si="3"/>
        <v>0</v>
      </c>
    </row>
    <row r="187" spans="1:16" s="37" customFormat="1" ht="15" thickBot="1">
      <c r="A187" s="49" t="s">
        <v>378</v>
      </c>
      <c r="B187" s="50" t="s">
        <v>379</v>
      </c>
      <c r="C187" s="35">
        <v>0</v>
      </c>
      <c r="D187" s="35">
        <v>0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f t="shared" si="3"/>
        <v>0</v>
      </c>
    </row>
    <row r="188" spans="1:16" s="37" customFormat="1" ht="15" thickBot="1">
      <c r="A188" s="49" t="s">
        <v>380</v>
      </c>
      <c r="B188" s="50" t="s">
        <v>381</v>
      </c>
      <c r="C188" s="35">
        <v>0</v>
      </c>
      <c r="D188" s="35">
        <v>0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f t="shared" si="3"/>
        <v>0</v>
      </c>
    </row>
    <row r="189" spans="1:16" s="37" customFormat="1" ht="15" thickBot="1">
      <c r="A189" s="49" t="s">
        <v>382</v>
      </c>
      <c r="B189" s="50" t="s">
        <v>383</v>
      </c>
      <c r="C189" s="35">
        <v>0</v>
      </c>
      <c r="D189" s="35">
        <v>0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f t="shared" si="3"/>
        <v>0</v>
      </c>
    </row>
    <row r="190" spans="1:16" s="37" customFormat="1" ht="15" thickBot="1">
      <c r="A190" s="49" t="s">
        <v>384</v>
      </c>
      <c r="B190" s="50" t="s">
        <v>385</v>
      </c>
      <c r="C190" s="35">
        <v>0</v>
      </c>
      <c r="D190" s="35">
        <v>0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f t="shared" si="3"/>
        <v>0</v>
      </c>
    </row>
    <row r="191" spans="1:16" s="37" customFormat="1" ht="15" thickBot="1">
      <c r="A191" s="49" t="s">
        <v>386</v>
      </c>
      <c r="B191" s="50" t="s">
        <v>387</v>
      </c>
      <c r="C191" s="35">
        <v>0</v>
      </c>
      <c r="D191" s="35">
        <v>0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f t="shared" si="3"/>
        <v>0</v>
      </c>
    </row>
    <row r="192" spans="1:16" s="37" customFormat="1" ht="15" thickBot="1">
      <c r="A192" s="49" t="s">
        <v>388</v>
      </c>
      <c r="B192" s="50" t="s">
        <v>389</v>
      </c>
      <c r="C192" s="35">
        <v>0</v>
      </c>
      <c r="D192" s="35">
        <v>0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f t="shared" si="3"/>
        <v>0</v>
      </c>
    </row>
    <row r="193" spans="1:16" s="37" customFormat="1" ht="15" thickBot="1">
      <c r="A193" s="49" t="s">
        <v>390</v>
      </c>
      <c r="B193" s="50" t="s">
        <v>391</v>
      </c>
      <c r="C193" s="35">
        <v>0</v>
      </c>
      <c r="D193" s="35">
        <v>0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f t="shared" si="3"/>
        <v>0</v>
      </c>
    </row>
    <row r="194" spans="1:16" s="37" customFormat="1" ht="15" thickBot="1">
      <c r="A194" s="49" t="s">
        <v>392</v>
      </c>
      <c r="B194" s="50" t="s">
        <v>393</v>
      </c>
      <c r="C194" s="35">
        <v>0</v>
      </c>
      <c r="D194" s="35">
        <v>0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f t="shared" si="3"/>
        <v>0</v>
      </c>
    </row>
    <row r="195" spans="1:16" s="37" customFormat="1" ht="15" thickBot="1">
      <c r="A195" s="49" t="s">
        <v>394</v>
      </c>
      <c r="B195" s="50" t="s">
        <v>395</v>
      </c>
      <c r="C195" s="35">
        <v>0</v>
      </c>
      <c r="D195" s="35">
        <v>0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f t="shared" si="3"/>
        <v>0</v>
      </c>
    </row>
    <row r="196" spans="1:16" s="37" customFormat="1" ht="15" thickBot="1">
      <c r="A196" s="49" t="s">
        <v>396</v>
      </c>
      <c r="B196" s="50" t="s">
        <v>188</v>
      </c>
      <c r="C196" s="35">
        <v>0</v>
      </c>
      <c r="D196" s="35">
        <v>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f t="shared" si="3"/>
        <v>0</v>
      </c>
    </row>
    <row r="197" spans="1:16" s="37" customFormat="1" ht="15" thickBot="1">
      <c r="A197" s="49" t="s">
        <v>397</v>
      </c>
      <c r="B197" s="50" t="s">
        <v>398</v>
      </c>
      <c r="C197" s="35">
        <v>0</v>
      </c>
      <c r="D197" s="35">
        <v>0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f t="shared" si="3"/>
        <v>0</v>
      </c>
    </row>
    <row r="198" spans="1:16" s="37" customFormat="1" ht="15" thickBot="1">
      <c r="A198" s="49" t="s">
        <v>399</v>
      </c>
      <c r="B198" s="50" t="s">
        <v>400</v>
      </c>
      <c r="C198" s="35">
        <v>0</v>
      </c>
      <c r="D198" s="35">
        <v>0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f t="shared" si="3"/>
        <v>0</v>
      </c>
    </row>
    <row r="199" spans="1:16" s="37" customFormat="1" ht="15" thickBot="1">
      <c r="A199" s="49" t="s">
        <v>401</v>
      </c>
      <c r="B199" s="50" t="s">
        <v>402</v>
      </c>
      <c r="C199" s="35">
        <v>0</v>
      </c>
      <c r="D199" s="35">
        <v>0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f t="shared" si="3"/>
        <v>0</v>
      </c>
    </row>
    <row r="200" spans="1:16" s="37" customFormat="1" ht="15" thickBot="1">
      <c r="A200" s="49" t="s">
        <v>403</v>
      </c>
      <c r="B200" s="50" t="s">
        <v>404</v>
      </c>
      <c r="C200" s="35">
        <v>0</v>
      </c>
      <c r="D200" s="35">
        <v>0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f t="shared" si="3"/>
        <v>0</v>
      </c>
    </row>
    <row r="201" spans="1:16" s="37" customFormat="1" ht="15" thickBot="1">
      <c r="A201" s="49" t="s">
        <v>405</v>
      </c>
      <c r="B201" s="50" t="s">
        <v>406</v>
      </c>
      <c r="C201" s="35">
        <v>0</v>
      </c>
      <c r="D201" s="35">
        <v>0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f t="shared" si="3"/>
        <v>0</v>
      </c>
    </row>
    <row r="202" spans="1:16" s="37" customFormat="1" ht="15" thickBot="1">
      <c r="A202" s="49" t="s">
        <v>407</v>
      </c>
      <c r="B202" s="50" t="s">
        <v>408</v>
      </c>
      <c r="C202" s="35">
        <v>0</v>
      </c>
      <c r="D202" s="35">
        <v>0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f t="shared" si="3"/>
        <v>0</v>
      </c>
    </row>
    <row r="203" spans="1:16" s="37" customFormat="1" ht="15" thickBot="1">
      <c r="A203" s="49" t="s">
        <v>409</v>
      </c>
      <c r="B203" s="50" t="s">
        <v>410</v>
      </c>
      <c r="C203" s="35">
        <v>0</v>
      </c>
      <c r="D203" s="35">
        <v>0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f t="shared" si="3"/>
        <v>0</v>
      </c>
    </row>
    <row r="204" spans="1:16" s="37" customFormat="1" ht="15" thickBot="1">
      <c r="A204" s="49" t="s">
        <v>411</v>
      </c>
      <c r="B204" s="50" t="s">
        <v>412</v>
      </c>
      <c r="C204" s="35">
        <v>0</v>
      </c>
      <c r="D204" s="35">
        <v>0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f t="shared" si="3"/>
        <v>0</v>
      </c>
    </row>
    <row r="205" spans="1:16" s="37" customFormat="1" ht="15" thickBot="1">
      <c r="A205" s="49" t="s">
        <v>413</v>
      </c>
      <c r="B205" s="50" t="s">
        <v>414</v>
      </c>
      <c r="C205" s="35">
        <v>0</v>
      </c>
      <c r="D205" s="35">
        <v>0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f t="shared" si="3"/>
        <v>0</v>
      </c>
    </row>
    <row r="206" spans="1:16" s="37" customFormat="1" ht="15" thickBot="1">
      <c r="A206" s="49" t="s">
        <v>415</v>
      </c>
      <c r="B206" s="50" t="s">
        <v>416</v>
      </c>
      <c r="C206" s="35">
        <v>0</v>
      </c>
      <c r="D206" s="35">
        <v>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f t="shared" si="3"/>
        <v>0</v>
      </c>
    </row>
    <row r="207" spans="1:16" s="37" customFormat="1" ht="15" thickBot="1">
      <c r="A207" s="49" t="s">
        <v>417</v>
      </c>
      <c r="B207" s="50" t="s">
        <v>418</v>
      </c>
      <c r="C207" s="35">
        <v>1</v>
      </c>
      <c r="D207" s="35">
        <v>1</v>
      </c>
      <c r="E207" s="35">
        <v>1</v>
      </c>
      <c r="F207" s="35">
        <v>1</v>
      </c>
      <c r="G207" s="35">
        <v>1</v>
      </c>
      <c r="H207" s="35">
        <v>1</v>
      </c>
      <c r="I207" s="35">
        <v>1</v>
      </c>
      <c r="J207" s="35">
        <v>1</v>
      </c>
      <c r="K207" s="35">
        <v>1</v>
      </c>
      <c r="L207" s="35">
        <v>1</v>
      </c>
      <c r="M207" s="35">
        <v>1</v>
      </c>
      <c r="N207" s="35">
        <v>1</v>
      </c>
      <c r="O207" s="35">
        <v>1</v>
      </c>
      <c r="P207" s="35">
        <f t="shared" si="3"/>
        <v>13</v>
      </c>
    </row>
    <row r="208" spans="1:16" s="37" customFormat="1" ht="15" thickBot="1">
      <c r="A208" s="49" t="s">
        <v>419</v>
      </c>
      <c r="B208" s="50" t="s">
        <v>420</v>
      </c>
      <c r="C208" s="35">
        <v>1</v>
      </c>
      <c r="D208" s="35">
        <v>1</v>
      </c>
      <c r="E208" s="35">
        <v>1</v>
      </c>
      <c r="F208" s="35">
        <v>1</v>
      </c>
      <c r="G208" s="35">
        <v>1</v>
      </c>
      <c r="H208" s="35">
        <v>1</v>
      </c>
      <c r="I208" s="35">
        <v>1</v>
      </c>
      <c r="J208" s="35">
        <v>1</v>
      </c>
      <c r="K208" s="35">
        <v>1</v>
      </c>
      <c r="L208" s="35">
        <v>1</v>
      </c>
      <c r="M208" s="35">
        <v>1</v>
      </c>
      <c r="N208" s="35">
        <v>1</v>
      </c>
      <c r="O208" s="35">
        <v>1</v>
      </c>
      <c r="P208" s="35">
        <f t="shared" si="3"/>
        <v>13</v>
      </c>
    </row>
    <row r="209" spans="1:16" s="37" customFormat="1" ht="15" thickBot="1">
      <c r="A209" s="49" t="s">
        <v>421</v>
      </c>
      <c r="B209" s="50" t="s">
        <v>422</v>
      </c>
      <c r="C209" s="35">
        <v>0</v>
      </c>
      <c r="D209" s="35">
        <v>0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f t="shared" si="3"/>
        <v>0</v>
      </c>
    </row>
    <row r="210" spans="1:16" s="37" customFormat="1" ht="15" thickBot="1">
      <c r="A210" s="49" t="s">
        <v>423</v>
      </c>
      <c r="B210" s="50" t="s">
        <v>424</v>
      </c>
      <c r="C210" s="35">
        <v>0</v>
      </c>
      <c r="D210" s="35">
        <v>0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f t="shared" si="3"/>
        <v>0</v>
      </c>
    </row>
    <row r="211" spans="1:16" s="37" customFormat="1" ht="15" thickBot="1">
      <c r="A211" s="49" t="s">
        <v>425</v>
      </c>
      <c r="B211" s="50" t="s">
        <v>426</v>
      </c>
      <c r="C211" s="35">
        <v>0</v>
      </c>
      <c r="D211" s="35">
        <v>0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f t="shared" si="3"/>
        <v>0</v>
      </c>
    </row>
    <row r="212" spans="1:16" s="37" customFormat="1" ht="15" thickBot="1">
      <c r="A212" s="49" t="s">
        <v>427</v>
      </c>
      <c r="B212" s="50" t="s">
        <v>428</v>
      </c>
      <c r="C212" s="35">
        <v>0</v>
      </c>
      <c r="D212" s="35">
        <v>0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f t="shared" si="3"/>
        <v>0</v>
      </c>
    </row>
    <row r="213" spans="1:16" s="37" customFormat="1" ht="15" thickBot="1">
      <c r="A213" s="49" t="s">
        <v>429</v>
      </c>
      <c r="B213" s="50" t="s">
        <v>430</v>
      </c>
      <c r="C213" s="35">
        <v>0</v>
      </c>
      <c r="D213" s="35">
        <v>0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f t="shared" si="3"/>
        <v>0</v>
      </c>
    </row>
    <row r="214" spans="1:16" s="37" customFormat="1" ht="15" thickBot="1">
      <c r="A214" s="49" t="s">
        <v>431</v>
      </c>
      <c r="B214" s="50" t="s">
        <v>432</v>
      </c>
      <c r="C214" s="35">
        <v>0</v>
      </c>
      <c r="D214" s="35">
        <v>0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f t="shared" si="3"/>
        <v>0</v>
      </c>
    </row>
    <row r="215" spans="1:16" s="37" customFormat="1" ht="15" thickBot="1">
      <c r="A215" s="49" t="s">
        <v>433</v>
      </c>
      <c r="B215" s="50" t="s">
        <v>434</v>
      </c>
      <c r="C215" s="35">
        <v>0</v>
      </c>
      <c r="D215" s="35">
        <v>0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f t="shared" si="3"/>
        <v>0</v>
      </c>
    </row>
    <row r="216" spans="1:16" s="37" customFormat="1" ht="15" thickBot="1">
      <c r="A216" s="49" t="s">
        <v>435</v>
      </c>
      <c r="B216" s="50" t="s">
        <v>436</v>
      </c>
      <c r="C216" s="35">
        <v>0</v>
      </c>
      <c r="D216" s="35">
        <v>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f t="shared" si="3"/>
        <v>0</v>
      </c>
    </row>
    <row r="217" spans="1:16" s="37" customFormat="1" ht="15" thickBot="1">
      <c r="A217" s="49" t="s">
        <v>437</v>
      </c>
      <c r="B217" s="50" t="s">
        <v>438</v>
      </c>
      <c r="C217" s="35">
        <v>0</v>
      </c>
      <c r="D217" s="35">
        <v>0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f t="shared" si="3"/>
        <v>0</v>
      </c>
    </row>
    <row r="218" spans="1:16" s="37" customFormat="1" ht="15" thickBot="1">
      <c r="A218" s="49" t="s">
        <v>439</v>
      </c>
      <c r="B218" s="50" t="s">
        <v>440</v>
      </c>
      <c r="C218" s="35">
        <v>0</v>
      </c>
      <c r="D218" s="35">
        <v>0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f t="shared" si="3"/>
        <v>0</v>
      </c>
    </row>
    <row r="219" spans="1:16" s="37" customFormat="1" ht="15" thickBot="1">
      <c r="A219" s="49" t="s">
        <v>441</v>
      </c>
      <c r="B219" s="50" t="s">
        <v>442</v>
      </c>
      <c r="C219" s="35">
        <v>0</v>
      </c>
      <c r="D219" s="35">
        <v>0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f t="shared" si="3"/>
        <v>0</v>
      </c>
    </row>
    <row r="220" spans="1:16" s="37" customFormat="1" ht="15" thickBot="1">
      <c r="A220" s="49" t="s">
        <v>443</v>
      </c>
      <c r="B220" s="50" t="s">
        <v>444</v>
      </c>
      <c r="C220" s="35">
        <v>0</v>
      </c>
      <c r="D220" s="35">
        <v>0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f t="shared" ref="P220:P229" si="4">SUM(C220:O220)</f>
        <v>0</v>
      </c>
    </row>
    <row r="221" spans="1:16" s="37" customFormat="1" ht="15" thickBot="1">
      <c r="A221" s="49" t="s">
        <v>445</v>
      </c>
      <c r="B221" s="50" t="s">
        <v>446</v>
      </c>
      <c r="C221" s="35">
        <v>0</v>
      </c>
      <c r="D221" s="35">
        <v>0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f t="shared" si="4"/>
        <v>0</v>
      </c>
    </row>
    <row r="222" spans="1:16" s="37" customFormat="1" ht="15" thickBot="1">
      <c r="A222" s="49" t="s">
        <v>447</v>
      </c>
      <c r="B222" s="50" t="s">
        <v>448</v>
      </c>
      <c r="C222" s="35">
        <v>0</v>
      </c>
      <c r="D222" s="35">
        <v>0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f t="shared" si="4"/>
        <v>0</v>
      </c>
    </row>
    <row r="223" spans="1:16" s="37" customFormat="1" ht="15" thickBot="1">
      <c r="A223" s="49" t="s">
        <v>449</v>
      </c>
      <c r="B223" s="50" t="s">
        <v>450</v>
      </c>
      <c r="C223" s="35">
        <v>0</v>
      </c>
      <c r="D223" s="35">
        <v>0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f t="shared" si="4"/>
        <v>0</v>
      </c>
    </row>
    <row r="224" spans="1:16" s="37" customFormat="1" ht="15" thickBot="1">
      <c r="A224" s="49" t="s">
        <v>451</v>
      </c>
      <c r="B224" s="50" t="s">
        <v>452</v>
      </c>
      <c r="C224" s="35">
        <v>1</v>
      </c>
      <c r="D224" s="35">
        <v>1</v>
      </c>
      <c r="E224" s="35">
        <v>1</v>
      </c>
      <c r="F224" s="35">
        <v>1</v>
      </c>
      <c r="G224" s="35">
        <v>1</v>
      </c>
      <c r="H224" s="35">
        <v>1</v>
      </c>
      <c r="I224" s="35">
        <v>1</v>
      </c>
      <c r="J224" s="35">
        <v>1</v>
      </c>
      <c r="K224" s="35">
        <v>1</v>
      </c>
      <c r="L224" s="35">
        <v>1</v>
      </c>
      <c r="M224" s="35">
        <v>1</v>
      </c>
      <c r="N224" s="35">
        <v>1</v>
      </c>
      <c r="O224" s="35">
        <v>1</v>
      </c>
      <c r="P224" s="35">
        <f t="shared" si="4"/>
        <v>13</v>
      </c>
    </row>
    <row r="225" spans="1:16" s="37" customFormat="1" ht="15" thickBot="1">
      <c r="A225" s="49" t="s">
        <v>453</v>
      </c>
      <c r="B225" s="50" t="s">
        <v>454</v>
      </c>
      <c r="C225" s="35">
        <v>0</v>
      </c>
      <c r="D225" s="35">
        <v>0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f t="shared" si="4"/>
        <v>0</v>
      </c>
    </row>
    <row r="226" spans="1:16" s="37" customFormat="1" ht="15" thickBot="1">
      <c r="A226" s="49" t="s">
        <v>455</v>
      </c>
      <c r="B226" s="50" t="s">
        <v>456</v>
      </c>
      <c r="C226" s="35">
        <v>0</v>
      </c>
      <c r="D226" s="35">
        <v>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f t="shared" si="4"/>
        <v>0</v>
      </c>
    </row>
    <row r="227" spans="1:16" s="37" customFormat="1" ht="15" thickBot="1">
      <c r="A227" s="49" t="s">
        <v>457</v>
      </c>
      <c r="B227" s="50" t="s">
        <v>458</v>
      </c>
      <c r="C227" s="35">
        <v>0</v>
      </c>
      <c r="D227" s="35">
        <v>0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f t="shared" si="4"/>
        <v>0</v>
      </c>
    </row>
    <row r="228" spans="1:16" s="37" customFormat="1" ht="15" thickBot="1">
      <c r="A228" s="49" t="s">
        <v>459</v>
      </c>
      <c r="B228" s="50" t="s">
        <v>460</v>
      </c>
      <c r="C228" s="35">
        <v>0</v>
      </c>
      <c r="D228" s="35">
        <v>0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f t="shared" si="4"/>
        <v>0</v>
      </c>
    </row>
    <row r="229" spans="1:16" s="37" customFormat="1" ht="15" thickBot="1">
      <c r="A229" s="49" t="s">
        <v>461</v>
      </c>
      <c r="B229" s="50" t="s">
        <v>462</v>
      </c>
      <c r="C229" s="35">
        <v>0</v>
      </c>
      <c r="D229" s="35">
        <v>0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f t="shared" si="4"/>
        <v>0</v>
      </c>
    </row>
    <row r="230" spans="1:16" s="37" customFormat="1" ht="15" thickBot="1">
      <c r="A230" s="51" t="s">
        <v>463</v>
      </c>
      <c r="B230" s="52" t="s">
        <v>464</v>
      </c>
      <c r="C230" s="35">
        <v>0</v>
      </c>
      <c r="D230" s="35">
        <v>0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f t="shared" ref="P230:P293" si="5">SUM(C230:O230)</f>
        <v>0</v>
      </c>
    </row>
    <row r="231" spans="1:16" s="37" customFormat="1" ht="15" thickBot="1">
      <c r="A231" s="51" t="s">
        <v>465</v>
      </c>
      <c r="B231" s="52" t="s">
        <v>466</v>
      </c>
      <c r="C231" s="35">
        <v>0</v>
      </c>
      <c r="D231" s="35">
        <v>0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f t="shared" si="5"/>
        <v>0</v>
      </c>
    </row>
    <row r="232" spans="1:16" s="37" customFormat="1" ht="15" thickBot="1">
      <c r="A232" s="51" t="s">
        <v>467</v>
      </c>
      <c r="B232" s="52" t="s">
        <v>468</v>
      </c>
      <c r="C232" s="35">
        <v>0</v>
      </c>
      <c r="D232" s="35">
        <v>0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f t="shared" si="5"/>
        <v>0</v>
      </c>
    </row>
    <row r="233" spans="1:16" s="37" customFormat="1" ht="15" thickBot="1">
      <c r="A233" s="51" t="s">
        <v>469</v>
      </c>
      <c r="B233" s="52" t="s">
        <v>470</v>
      </c>
      <c r="C233" s="35">
        <v>0</v>
      </c>
      <c r="D233" s="35">
        <v>0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f t="shared" si="5"/>
        <v>0</v>
      </c>
    </row>
    <row r="234" spans="1:16" s="37" customFormat="1" ht="15" thickBot="1">
      <c r="A234" s="51" t="s">
        <v>471</v>
      </c>
      <c r="B234" s="51" t="s">
        <v>472</v>
      </c>
      <c r="C234" s="35">
        <v>0</v>
      </c>
      <c r="D234" s="35">
        <v>0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f t="shared" si="5"/>
        <v>0</v>
      </c>
    </row>
    <row r="235" spans="1:16" s="37" customFormat="1" ht="15" thickBot="1">
      <c r="A235" s="51" t="s">
        <v>473</v>
      </c>
      <c r="B235" s="51" t="s">
        <v>474</v>
      </c>
      <c r="C235" s="35">
        <v>0</v>
      </c>
      <c r="D235" s="35">
        <v>0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f t="shared" si="5"/>
        <v>0</v>
      </c>
    </row>
    <row r="236" spans="1:16" s="37" customFormat="1" ht="15" thickBot="1">
      <c r="A236" s="51" t="s">
        <v>475</v>
      </c>
      <c r="B236" s="52" t="s">
        <v>476</v>
      </c>
      <c r="C236" s="35">
        <v>0</v>
      </c>
      <c r="D236" s="35">
        <v>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f t="shared" si="5"/>
        <v>0</v>
      </c>
    </row>
    <row r="237" spans="1:16" s="37" customFormat="1" ht="15" thickBot="1">
      <c r="A237" s="51" t="s">
        <v>477</v>
      </c>
      <c r="B237" s="52" t="s">
        <v>478</v>
      </c>
      <c r="C237" s="35">
        <v>0</v>
      </c>
      <c r="D237" s="35">
        <v>0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f t="shared" si="5"/>
        <v>0</v>
      </c>
    </row>
    <row r="238" spans="1:16" s="37" customFormat="1" ht="15" thickBot="1">
      <c r="A238" s="51" t="s">
        <v>479</v>
      </c>
      <c r="B238" s="52" t="s">
        <v>480</v>
      </c>
      <c r="C238" s="35">
        <v>0</v>
      </c>
      <c r="D238" s="35">
        <v>0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f t="shared" si="5"/>
        <v>0</v>
      </c>
    </row>
    <row r="239" spans="1:16" s="37" customFormat="1" ht="15" thickBot="1">
      <c r="A239" s="51" t="s">
        <v>481</v>
      </c>
      <c r="B239" s="52" t="s">
        <v>482</v>
      </c>
      <c r="C239" s="35">
        <v>1</v>
      </c>
      <c r="D239" s="35">
        <v>1</v>
      </c>
      <c r="E239" s="35">
        <v>1</v>
      </c>
      <c r="F239" s="35">
        <v>1</v>
      </c>
      <c r="G239" s="35">
        <v>1</v>
      </c>
      <c r="H239" s="35">
        <v>1</v>
      </c>
      <c r="I239" s="35">
        <v>1</v>
      </c>
      <c r="J239" s="35">
        <v>1</v>
      </c>
      <c r="K239" s="35">
        <v>1</v>
      </c>
      <c r="L239" s="35">
        <v>1</v>
      </c>
      <c r="M239" s="35">
        <v>1</v>
      </c>
      <c r="N239" s="35">
        <v>1</v>
      </c>
      <c r="O239" s="35">
        <v>1</v>
      </c>
      <c r="P239" s="35">
        <f t="shared" si="5"/>
        <v>13</v>
      </c>
    </row>
    <row r="240" spans="1:16" s="37" customFormat="1" ht="15" thickBot="1">
      <c r="A240" s="51" t="s">
        <v>483</v>
      </c>
      <c r="B240" s="51" t="s">
        <v>484</v>
      </c>
      <c r="C240" s="35">
        <v>0</v>
      </c>
      <c r="D240" s="35">
        <v>0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f t="shared" si="5"/>
        <v>0</v>
      </c>
    </row>
    <row r="241" spans="1:16" s="37" customFormat="1" ht="15" thickBot="1">
      <c r="A241" s="51" t="s">
        <v>485</v>
      </c>
      <c r="B241" s="51" t="s">
        <v>486</v>
      </c>
      <c r="C241" s="35">
        <v>0</v>
      </c>
      <c r="D241" s="35">
        <v>0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f t="shared" si="5"/>
        <v>0</v>
      </c>
    </row>
    <row r="242" spans="1:16" s="37" customFormat="1" ht="15" thickBot="1">
      <c r="A242" s="51" t="s">
        <v>487</v>
      </c>
      <c r="B242" s="51" t="s">
        <v>486</v>
      </c>
      <c r="C242" s="35">
        <v>0</v>
      </c>
      <c r="D242" s="35">
        <v>0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f t="shared" si="5"/>
        <v>0</v>
      </c>
    </row>
    <row r="243" spans="1:16" s="37" customFormat="1" ht="15" thickBot="1">
      <c r="A243" s="51" t="s">
        <v>488</v>
      </c>
      <c r="B243" s="52" t="s">
        <v>489</v>
      </c>
      <c r="C243" s="35">
        <v>0</v>
      </c>
      <c r="D243" s="35">
        <v>0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f t="shared" si="5"/>
        <v>0</v>
      </c>
    </row>
    <row r="244" spans="1:16" s="37" customFormat="1" ht="15" thickBot="1">
      <c r="A244" s="51" t="s">
        <v>490</v>
      </c>
      <c r="B244" s="52" t="s">
        <v>491</v>
      </c>
      <c r="C244" s="35">
        <v>0</v>
      </c>
      <c r="D244" s="35">
        <v>0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f t="shared" si="5"/>
        <v>0</v>
      </c>
    </row>
    <row r="245" spans="1:16" s="37" customFormat="1" ht="15" thickBot="1">
      <c r="A245" s="51" t="s">
        <v>492</v>
      </c>
      <c r="B245" s="52" t="s">
        <v>428</v>
      </c>
      <c r="C245" s="35">
        <v>0</v>
      </c>
      <c r="D245" s="35">
        <v>0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f t="shared" si="5"/>
        <v>0</v>
      </c>
    </row>
    <row r="246" spans="1:16" s="37" customFormat="1" ht="15" thickBot="1">
      <c r="A246" s="51" t="s">
        <v>493</v>
      </c>
      <c r="B246" s="52" t="s">
        <v>494</v>
      </c>
      <c r="C246" s="35">
        <v>0</v>
      </c>
      <c r="D246" s="35">
        <v>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f t="shared" si="5"/>
        <v>0</v>
      </c>
    </row>
    <row r="247" spans="1:16" s="37" customFormat="1" ht="15" thickBot="1">
      <c r="A247" s="51" t="s">
        <v>495</v>
      </c>
      <c r="B247" s="52" t="s">
        <v>496</v>
      </c>
      <c r="C247" s="35">
        <v>1</v>
      </c>
      <c r="D247" s="35">
        <v>1</v>
      </c>
      <c r="E247" s="35">
        <v>1</v>
      </c>
      <c r="F247" s="35">
        <v>1</v>
      </c>
      <c r="G247" s="35">
        <v>1</v>
      </c>
      <c r="H247" s="35">
        <v>1</v>
      </c>
      <c r="I247" s="35">
        <v>1</v>
      </c>
      <c r="J247" s="35">
        <v>1</v>
      </c>
      <c r="K247" s="35">
        <v>1</v>
      </c>
      <c r="L247" s="35">
        <v>1</v>
      </c>
      <c r="M247" s="35">
        <v>1</v>
      </c>
      <c r="N247" s="35">
        <v>1</v>
      </c>
      <c r="O247" s="35">
        <v>1</v>
      </c>
      <c r="P247" s="35">
        <f t="shared" si="5"/>
        <v>13</v>
      </c>
    </row>
    <row r="248" spans="1:16" s="37" customFormat="1" ht="15" thickBot="1">
      <c r="A248" s="51" t="s">
        <v>497</v>
      </c>
      <c r="B248" s="51" t="s">
        <v>498</v>
      </c>
      <c r="C248" s="35">
        <v>0</v>
      </c>
      <c r="D248" s="35">
        <v>0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f t="shared" si="5"/>
        <v>0</v>
      </c>
    </row>
    <row r="249" spans="1:16" s="37" customFormat="1" ht="15" thickBot="1">
      <c r="A249" s="51" t="s">
        <v>499</v>
      </c>
      <c r="B249" s="51" t="s">
        <v>500</v>
      </c>
      <c r="C249" s="35">
        <v>0</v>
      </c>
      <c r="D249" s="35">
        <v>0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f t="shared" si="5"/>
        <v>0</v>
      </c>
    </row>
    <row r="250" spans="1:16" s="37" customFormat="1" ht="15" thickBot="1">
      <c r="A250" s="51" t="s">
        <v>501</v>
      </c>
      <c r="B250" s="52" t="s">
        <v>502</v>
      </c>
      <c r="C250" s="35">
        <v>0</v>
      </c>
      <c r="D250" s="35">
        <v>0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f t="shared" si="5"/>
        <v>0</v>
      </c>
    </row>
    <row r="251" spans="1:16" s="37" customFormat="1" ht="15" thickBot="1">
      <c r="A251" s="51" t="s">
        <v>503</v>
      </c>
      <c r="B251" s="52" t="s">
        <v>504</v>
      </c>
      <c r="C251" s="35">
        <v>0</v>
      </c>
      <c r="D251" s="35">
        <v>0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f t="shared" si="5"/>
        <v>0</v>
      </c>
    </row>
    <row r="252" spans="1:16" s="37" customFormat="1" ht="15" thickBot="1">
      <c r="A252" s="51" t="s">
        <v>505</v>
      </c>
      <c r="B252" s="51" t="s">
        <v>506</v>
      </c>
      <c r="C252" s="35">
        <v>0</v>
      </c>
      <c r="D252" s="35">
        <v>0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f t="shared" si="5"/>
        <v>0</v>
      </c>
    </row>
    <row r="253" spans="1:16" s="37" customFormat="1" ht="15" thickBot="1">
      <c r="A253" s="51" t="s">
        <v>507</v>
      </c>
      <c r="B253" s="52" t="s">
        <v>508</v>
      </c>
      <c r="C253" s="35">
        <v>0</v>
      </c>
      <c r="D253" s="35">
        <v>0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f t="shared" si="5"/>
        <v>0</v>
      </c>
    </row>
    <row r="254" spans="1:16" s="37" customFormat="1" ht="15" thickBot="1">
      <c r="A254" s="51" t="s">
        <v>509</v>
      </c>
      <c r="B254" s="52" t="s">
        <v>510</v>
      </c>
      <c r="C254" s="35">
        <v>0</v>
      </c>
      <c r="D254" s="35">
        <v>0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f t="shared" si="5"/>
        <v>0</v>
      </c>
    </row>
    <row r="255" spans="1:16" s="37" customFormat="1" ht="15" thickBot="1">
      <c r="A255" s="51" t="s">
        <v>511</v>
      </c>
      <c r="B255" s="52" t="s">
        <v>512</v>
      </c>
      <c r="C255" s="35">
        <v>0</v>
      </c>
      <c r="D255" s="35">
        <v>0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f t="shared" si="5"/>
        <v>0</v>
      </c>
    </row>
    <row r="256" spans="1:16" s="37" customFormat="1" ht="15" thickBot="1">
      <c r="A256" s="51" t="s">
        <v>513</v>
      </c>
      <c r="B256" s="52" t="s">
        <v>514</v>
      </c>
      <c r="C256" s="35">
        <v>0</v>
      </c>
      <c r="D256" s="35">
        <v>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f t="shared" si="5"/>
        <v>0</v>
      </c>
    </row>
    <row r="257" spans="1:16" s="37" customFormat="1" ht="15" thickBot="1">
      <c r="A257" s="51" t="s">
        <v>515</v>
      </c>
      <c r="B257" s="52" t="s">
        <v>516</v>
      </c>
      <c r="C257" s="35">
        <v>0</v>
      </c>
      <c r="D257" s="35">
        <v>0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f t="shared" si="5"/>
        <v>0</v>
      </c>
    </row>
    <row r="258" spans="1:16" s="37" customFormat="1" ht="15" thickBot="1">
      <c r="A258" s="51" t="s">
        <v>517</v>
      </c>
      <c r="B258" s="52" t="s">
        <v>518</v>
      </c>
      <c r="C258" s="35">
        <v>0</v>
      </c>
      <c r="D258" s="35">
        <v>0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f t="shared" si="5"/>
        <v>0</v>
      </c>
    </row>
    <row r="259" spans="1:16" s="37" customFormat="1" ht="15" thickBot="1">
      <c r="A259" s="51" t="s">
        <v>519</v>
      </c>
      <c r="B259" s="52" t="s">
        <v>520</v>
      </c>
      <c r="C259" s="35">
        <v>0</v>
      </c>
      <c r="D259" s="35">
        <v>0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f t="shared" si="5"/>
        <v>0</v>
      </c>
    </row>
    <row r="260" spans="1:16" s="37" customFormat="1" ht="15" thickBot="1">
      <c r="A260" s="51" t="s">
        <v>521</v>
      </c>
      <c r="B260" s="52" t="s">
        <v>522</v>
      </c>
      <c r="C260" s="35">
        <v>0</v>
      </c>
      <c r="D260" s="35">
        <v>0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f t="shared" si="5"/>
        <v>0</v>
      </c>
    </row>
    <row r="261" spans="1:16" s="37" customFormat="1" ht="15" thickBot="1">
      <c r="A261" s="51" t="s">
        <v>523</v>
      </c>
      <c r="B261" s="52" t="s">
        <v>524</v>
      </c>
      <c r="C261" s="35">
        <v>0</v>
      </c>
      <c r="D261" s="35">
        <v>0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f t="shared" si="5"/>
        <v>0</v>
      </c>
    </row>
    <row r="262" spans="1:16" s="37" customFormat="1" ht="15" thickBot="1">
      <c r="A262" s="51" t="s">
        <v>525</v>
      </c>
      <c r="B262" s="52" t="s">
        <v>526</v>
      </c>
      <c r="C262" s="35">
        <v>0</v>
      </c>
      <c r="D262" s="35">
        <v>0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f t="shared" si="5"/>
        <v>0</v>
      </c>
    </row>
    <row r="263" spans="1:16" s="37" customFormat="1" ht="15" thickBot="1">
      <c r="A263" s="51" t="s">
        <v>527</v>
      </c>
      <c r="B263" s="52" t="s">
        <v>528</v>
      </c>
      <c r="C263" s="35">
        <v>0</v>
      </c>
      <c r="D263" s="35">
        <v>0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f t="shared" si="5"/>
        <v>0</v>
      </c>
    </row>
    <row r="264" spans="1:16" s="37" customFormat="1" ht="15" thickBot="1">
      <c r="A264" s="51" t="s">
        <v>529</v>
      </c>
      <c r="B264" s="51" t="s">
        <v>152</v>
      </c>
      <c r="C264" s="35">
        <v>0</v>
      </c>
      <c r="D264" s="35">
        <v>0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f t="shared" si="5"/>
        <v>0</v>
      </c>
    </row>
    <row r="265" spans="1:16" s="37" customFormat="1" ht="15" thickBot="1">
      <c r="A265" s="51" t="s">
        <v>530</v>
      </c>
      <c r="B265" s="52" t="s">
        <v>531</v>
      </c>
      <c r="C265" s="35">
        <v>0</v>
      </c>
      <c r="D265" s="35">
        <v>0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f t="shared" si="5"/>
        <v>0</v>
      </c>
    </row>
    <row r="266" spans="1:16" s="37" customFormat="1" ht="15" thickBot="1">
      <c r="A266" s="51" t="s">
        <v>532</v>
      </c>
      <c r="B266" s="52" t="s">
        <v>533</v>
      </c>
      <c r="C266" s="35">
        <v>0</v>
      </c>
      <c r="D266" s="35">
        <v>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f t="shared" si="5"/>
        <v>0</v>
      </c>
    </row>
    <row r="267" spans="1:16" s="37" customFormat="1" ht="15" thickBot="1">
      <c r="A267" s="51" t="s">
        <v>534</v>
      </c>
      <c r="B267" s="51" t="s">
        <v>535</v>
      </c>
      <c r="C267" s="35">
        <v>0</v>
      </c>
      <c r="D267" s="35">
        <v>0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f t="shared" si="5"/>
        <v>0</v>
      </c>
    </row>
    <row r="268" spans="1:16" s="37" customFormat="1" ht="15" thickBot="1">
      <c r="A268" s="51" t="s">
        <v>536</v>
      </c>
      <c r="B268" s="51" t="s">
        <v>450</v>
      </c>
      <c r="C268" s="35">
        <v>0</v>
      </c>
      <c r="D268" s="35">
        <v>0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f t="shared" si="5"/>
        <v>0</v>
      </c>
    </row>
    <row r="269" spans="1:16" s="37" customFormat="1" ht="15" thickBot="1">
      <c r="A269" s="51" t="s">
        <v>537</v>
      </c>
      <c r="B269" s="51" t="s">
        <v>458</v>
      </c>
      <c r="C269" s="35">
        <v>0</v>
      </c>
      <c r="D269" s="35">
        <v>0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f t="shared" si="5"/>
        <v>0</v>
      </c>
    </row>
    <row r="270" spans="1:16" s="37" customFormat="1" ht="15" thickBot="1">
      <c r="A270" s="51" t="s">
        <v>538</v>
      </c>
      <c r="B270" s="52" t="s">
        <v>539</v>
      </c>
      <c r="C270" s="35">
        <v>0</v>
      </c>
      <c r="D270" s="35">
        <v>0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f t="shared" si="5"/>
        <v>0</v>
      </c>
    </row>
    <row r="271" spans="1:16" s="37" customFormat="1" ht="15" thickBot="1">
      <c r="A271" s="51" t="s">
        <v>540</v>
      </c>
      <c r="B271" s="52" t="s">
        <v>541</v>
      </c>
      <c r="C271" s="35">
        <v>1</v>
      </c>
      <c r="D271" s="35">
        <v>1</v>
      </c>
      <c r="E271" s="35">
        <v>1</v>
      </c>
      <c r="F271" s="35">
        <v>1</v>
      </c>
      <c r="G271" s="35">
        <v>1</v>
      </c>
      <c r="H271" s="35">
        <v>1</v>
      </c>
      <c r="I271" s="35">
        <v>1</v>
      </c>
      <c r="J271" s="35">
        <v>1</v>
      </c>
      <c r="K271" s="35">
        <v>1</v>
      </c>
      <c r="L271" s="35">
        <v>1</v>
      </c>
      <c r="M271" s="35">
        <v>1</v>
      </c>
      <c r="N271" s="35">
        <v>1</v>
      </c>
      <c r="O271" s="35">
        <v>1</v>
      </c>
      <c r="P271" s="35">
        <f t="shared" si="5"/>
        <v>13</v>
      </c>
    </row>
    <row r="272" spans="1:16" s="37" customFormat="1" ht="15" thickBot="1">
      <c r="A272" s="51" t="s">
        <v>542</v>
      </c>
      <c r="B272" s="52" t="s">
        <v>543</v>
      </c>
      <c r="C272" s="35">
        <v>0</v>
      </c>
      <c r="D272" s="35">
        <v>0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f t="shared" si="5"/>
        <v>0</v>
      </c>
    </row>
    <row r="273" spans="1:16" s="37" customFormat="1" ht="15" thickBot="1">
      <c r="A273" s="51" t="s">
        <v>544</v>
      </c>
      <c r="B273" s="51" t="s">
        <v>545</v>
      </c>
      <c r="C273" s="35">
        <v>0</v>
      </c>
      <c r="D273" s="35">
        <v>0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f t="shared" si="5"/>
        <v>0</v>
      </c>
    </row>
    <row r="274" spans="1:16" s="37" customFormat="1" ht="15" thickBot="1">
      <c r="A274" s="51" t="s">
        <v>546</v>
      </c>
      <c r="B274" s="51" t="s">
        <v>547</v>
      </c>
      <c r="C274" s="35">
        <v>0</v>
      </c>
      <c r="D274" s="35">
        <v>0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f t="shared" si="5"/>
        <v>0</v>
      </c>
    </row>
    <row r="275" spans="1:16" s="37" customFormat="1" ht="15" thickBot="1">
      <c r="A275" s="51" t="s">
        <v>548</v>
      </c>
      <c r="B275" s="52" t="s">
        <v>549</v>
      </c>
      <c r="C275" s="35">
        <v>1</v>
      </c>
      <c r="D275" s="35">
        <v>1</v>
      </c>
      <c r="E275" s="35">
        <v>1</v>
      </c>
      <c r="F275" s="35">
        <v>1</v>
      </c>
      <c r="G275" s="35">
        <v>1</v>
      </c>
      <c r="H275" s="35">
        <v>1</v>
      </c>
      <c r="I275" s="35">
        <v>1</v>
      </c>
      <c r="J275" s="35">
        <v>1</v>
      </c>
      <c r="K275" s="35">
        <v>1</v>
      </c>
      <c r="L275" s="35">
        <v>1</v>
      </c>
      <c r="M275" s="35">
        <v>1</v>
      </c>
      <c r="N275" s="35">
        <v>1</v>
      </c>
      <c r="O275" s="35">
        <v>1</v>
      </c>
      <c r="P275" s="35">
        <f t="shared" si="5"/>
        <v>13</v>
      </c>
    </row>
    <row r="276" spans="1:16" s="37" customFormat="1" ht="15" thickBot="1">
      <c r="A276" s="51" t="s">
        <v>550</v>
      </c>
      <c r="B276" s="52" t="s">
        <v>551</v>
      </c>
      <c r="C276" s="35">
        <v>0</v>
      </c>
      <c r="D276" s="35">
        <v>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f t="shared" si="5"/>
        <v>0</v>
      </c>
    </row>
    <row r="277" spans="1:16" s="37" customFormat="1" ht="15" thickBot="1">
      <c r="A277" s="51" t="s">
        <v>552</v>
      </c>
      <c r="B277" s="52" t="s">
        <v>553</v>
      </c>
      <c r="C277" s="35">
        <v>0</v>
      </c>
      <c r="D277" s="35">
        <v>0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f t="shared" si="5"/>
        <v>0</v>
      </c>
    </row>
    <row r="278" spans="1:16" s="37" customFormat="1" ht="15" thickBot="1">
      <c r="A278" s="51" t="s">
        <v>554</v>
      </c>
      <c r="B278" s="52" t="s">
        <v>555</v>
      </c>
      <c r="C278" s="35">
        <v>1</v>
      </c>
      <c r="D278" s="35">
        <v>1</v>
      </c>
      <c r="E278" s="35">
        <v>1</v>
      </c>
      <c r="F278" s="35">
        <v>1</v>
      </c>
      <c r="G278" s="35">
        <v>1</v>
      </c>
      <c r="H278" s="35">
        <v>1</v>
      </c>
      <c r="I278" s="35">
        <v>1</v>
      </c>
      <c r="J278" s="35">
        <v>1</v>
      </c>
      <c r="K278" s="35">
        <v>1</v>
      </c>
      <c r="L278" s="35">
        <v>1</v>
      </c>
      <c r="M278" s="35">
        <v>1</v>
      </c>
      <c r="N278" s="35">
        <v>1</v>
      </c>
      <c r="O278" s="35">
        <v>1</v>
      </c>
      <c r="P278" s="35">
        <f t="shared" si="5"/>
        <v>13</v>
      </c>
    </row>
    <row r="279" spans="1:16" s="37" customFormat="1" ht="15" thickBot="1">
      <c r="A279" s="51" t="s">
        <v>556</v>
      </c>
      <c r="B279" s="52" t="s">
        <v>557</v>
      </c>
      <c r="C279" s="35">
        <v>0</v>
      </c>
      <c r="D279" s="35">
        <v>0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f t="shared" si="5"/>
        <v>0</v>
      </c>
    </row>
    <row r="280" spans="1:16" s="37" customFormat="1" ht="15" thickBot="1">
      <c r="A280" s="51" t="s">
        <v>558</v>
      </c>
      <c r="B280" s="52" t="s">
        <v>559</v>
      </c>
      <c r="C280" s="35">
        <v>0</v>
      </c>
      <c r="D280" s="35">
        <v>0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f t="shared" si="5"/>
        <v>0</v>
      </c>
    </row>
    <row r="281" spans="1:16" s="37" customFormat="1" ht="15" thickBot="1">
      <c r="A281" s="51" t="s">
        <v>560</v>
      </c>
      <c r="B281" s="51" t="s">
        <v>561</v>
      </c>
      <c r="C281" s="35">
        <v>0</v>
      </c>
      <c r="D281" s="35">
        <v>0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f t="shared" si="5"/>
        <v>0</v>
      </c>
    </row>
    <row r="282" spans="1:16" s="37" customFormat="1" ht="15" thickBot="1">
      <c r="A282" s="51" t="s">
        <v>562</v>
      </c>
      <c r="B282" s="52" t="s">
        <v>563</v>
      </c>
      <c r="C282" s="35">
        <v>0</v>
      </c>
      <c r="D282" s="35">
        <v>0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f t="shared" si="5"/>
        <v>0</v>
      </c>
    </row>
    <row r="283" spans="1:16" s="37" customFormat="1" ht="15" thickBot="1">
      <c r="A283" s="51" t="s">
        <v>564</v>
      </c>
      <c r="B283" s="52" t="s">
        <v>565</v>
      </c>
      <c r="C283" s="35">
        <v>0</v>
      </c>
      <c r="D283" s="35">
        <v>0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f t="shared" si="5"/>
        <v>0</v>
      </c>
    </row>
    <row r="284" spans="1:16" s="37" customFormat="1" ht="15" thickBot="1">
      <c r="A284" s="51" t="s">
        <v>566</v>
      </c>
      <c r="B284" s="52" t="s">
        <v>567</v>
      </c>
      <c r="C284" s="35">
        <v>0</v>
      </c>
      <c r="D284" s="35">
        <v>0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f t="shared" si="5"/>
        <v>0</v>
      </c>
    </row>
    <row r="285" spans="1:16" s="37" customFormat="1" ht="15" thickBot="1">
      <c r="A285" s="51" t="s">
        <v>568</v>
      </c>
      <c r="B285" s="51" t="s">
        <v>569</v>
      </c>
      <c r="C285" s="35">
        <v>0</v>
      </c>
      <c r="D285" s="35">
        <v>0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f t="shared" si="5"/>
        <v>0</v>
      </c>
    </row>
    <row r="286" spans="1:16" s="37" customFormat="1" ht="15" thickBot="1">
      <c r="A286" s="51" t="s">
        <v>570</v>
      </c>
      <c r="B286" s="52" t="s">
        <v>571</v>
      </c>
      <c r="C286" s="35">
        <v>0</v>
      </c>
      <c r="D286" s="35">
        <v>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f t="shared" si="5"/>
        <v>0</v>
      </c>
    </row>
    <row r="287" spans="1:16" s="37" customFormat="1" ht="15" thickBot="1">
      <c r="A287" s="51" t="s">
        <v>572</v>
      </c>
      <c r="B287" s="52" t="s">
        <v>573</v>
      </c>
      <c r="C287" s="35">
        <v>0</v>
      </c>
      <c r="D287" s="35">
        <v>0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f t="shared" si="5"/>
        <v>0</v>
      </c>
    </row>
    <row r="288" spans="1:16" s="37" customFormat="1" ht="15" thickBot="1">
      <c r="A288" s="51" t="s">
        <v>574</v>
      </c>
      <c r="B288" s="51" t="s">
        <v>575</v>
      </c>
      <c r="C288" s="35">
        <v>0</v>
      </c>
      <c r="D288" s="35">
        <v>0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f t="shared" si="5"/>
        <v>0</v>
      </c>
    </row>
    <row r="289" spans="1:16" s="37" customFormat="1" ht="15" thickBot="1">
      <c r="A289" s="51" t="s">
        <v>576</v>
      </c>
      <c r="B289" s="52" t="s">
        <v>577</v>
      </c>
      <c r="C289" s="35">
        <v>0</v>
      </c>
      <c r="D289" s="35">
        <v>0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f t="shared" si="5"/>
        <v>0</v>
      </c>
    </row>
    <row r="290" spans="1:16" s="37" customFormat="1" ht="15" thickBot="1">
      <c r="A290" s="51" t="s">
        <v>578</v>
      </c>
      <c r="B290" s="52" t="s">
        <v>579</v>
      </c>
      <c r="C290" s="35">
        <v>0</v>
      </c>
      <c r="D290" s="35">
        <v>0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f t="shared" si="5"/>
        <v>0</v>
      </c>
    </row>
    <row r="291" spans="1:16" s="37" customFormat="1" ht="15" thickBot="1">
      <c r="A291" s="51" t="s">
        <v>580</v>
      </c>
      <c r="B291" s="52" t="s">
        <v>581</v>
      </c>
      <c r="C291" s="35">
        <v>0</v>
      </c>
      <c r="D291" s="35">
        <v>0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f t="shared" si="5"/>
        <v>0</v>
      </c>
    </row>
    <row r="292" spans="1:16" s="37" customFormat="1" ht="15" thickBot="1">
      <c r="A292" s="51" t="s">
        <v>582</v>
      </c>
      <c r="B292" s="52" t="s">
        <v>583</v>
      </c>
      <c r="C292" s="35">
        <v>0</v>
      </c>
      <c r="D292" s="35">
        <v>0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f t="shared" si="5"/>
        <v>0</v>
      </c>
    </row>
    <row r="293" spans="1:16" s="37" customFormat="1" ht="15" thickBot="1">
      <c r="A293" s="51" t="s">
        <v>584</v>
      </c>
      <c r="B293" s="52" t="s">
        <v>585</v>
      </c>
      <c r="C293" s="35">
        <v>0</v>
      </c>
      <c r="D293" s="35">
        <v>0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f t="shared" si="5"/>
        <v>0</v>
      </c>
    </row>
    <row r="294" spans="1:16" s="37" customFormat="1" ht="15" thickBot="1">
      <c r="A294" s="51" t="s">
        <v>586</v>
      </c>
      <c r="B294" s="52" t="s">
        <v>587</v>
      </c>
      <c r="C294" s="35">
        <v>0</v>
      </c>
      <c r="D294" s="35">
        <v>0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f t="shared" ref="P294:P317" si="6">SUM(C294:O294)</f>
        <v>0</v>
      </c>
    </row>
    <row r="295" spans="1:16" s="37" customFormat="1" ht="15" thickBot="1">
      <c r="A295" s="51" t="s">
        <v>588</v>
      </c>
      <c r="B295" s="52" t="s">
        <v>589</v>
      </c>
      <c r="C295" s="35">
        <v>0</v>
      </c>
      <c r="D295" s="35">
        <v>0</v>
      </c>
      <c r="E295" s="35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f t="shared" si="6"/>
        <v>0</v>
      </c>
    </row>
    <row r="296" spans="1:16" s="37" customFormat="1" ht="15" thickBot="1">
      <c r="A296" s="51" t="s">
        <v>590</v>
      </c>
      <c r="B296" s="52" t="s">
        <v>591</v>
      </c>
      <c r="C296" s="35">
        <v>0</v>
      </c>
      <c r="D296" s="35">
        <v>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f t="shared" si="6"/>
        <v>0</v>
      </c>
    </row>
    <row r="297" spans="1:16" s="37" customFormat="1" ht="15" thickBot="1">
      <c r="A297" s="51" t="s">
        <v>592</v>
      </c>
      <c r="B297" s="51" t="s">
        <v>358</v>
      </c>
      <c r="C297" s="35">
        <v>0</v>
      </c>
      <c r="D297" s="35">
        <v>0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f t="shared" si="6"/>
        <v>0</v>
      </c>
    </row>
    <row r="298" spans="1:16" s="37" customFormat="1" ht="15" thickBot="1">
      <c r="A298" s="51" t="s">
        <v>593</v>
      </c>
      <c r="B298" s="52" t="s">
        <v>594</v>
      </c>
      <c r="C298" s="35">
        <v>0</v>
      </c>
      <c r="D298" s="35">
        <v>0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f t="shared" si="6"/>
        <v>0</v>
      </c>
    </row>
    <row r="299" spans="1:16" s="37" customFormat="1" ht="15" thickBot="1">
      <c r="A299" s="51" t="s">
        <v>595</v>
      </c>
      <c r="B299" s="52" t="s">
        <v>596</v>
      </c>
      <c r="C299" s="35">
        <v>1</v>
      </c>
      <c r="D299" s="35">
        <v>1</v>
      </c>
      <c r="E299" s="35">
        <v>1</v>
      </c>
      <c r="F299" s="35">
        <v>1</v>
      </c>
      <c r="G299" s="35">
        <v>1</v>
      </c>
      <c r="H299" s="35">
        <v>1</v>
      </c>
      <c r="I299" s="35">
        <v>1</v>
      </c>
      <c r="J299" s="35">
        <v>1</v>
      </c>
      <c r="K299" s="35">
        <v>1</v>
      </c>
      <c r="L299" s="35">
        <v>1</v>
      </c>
      <c r="M299" s="35">
        <v>1</v>
      </c>
      <c r="N299" s="35">
        <v>1</v>
      </c>
      <c r="O299" s="35">
        <v>1</v>
      </c>
      <c r="P299" s="35">
        <f t="shared" si="6"/>
        <v>13</v>
      </c>
    </row>
    <row r="300" spans="1:16" s="37" customFormat="1" ht="15" thickBot="1">
      <c r="A300" s="51" t="s">
        <v>597</v>
      </c>
      <c r="B300" s="51" t="s">
        <v>598</v>
      </c>
      <c r="C300" s="35">
        <v>0</v>
      </c>
      <c r="D300" s="35">
        <v>0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f t="shared" si="6"/>
        <v>0</v>
      </c>
    </row>
    <row r="301" spans="1:16" s="37" customFormat="1" ht="15" thickBot="1">
      <c r="A301" s="51" t="s">
        <v>599</v>
      </c>
      <c r="B301" s="52" t="s">
        <v>600</v>
      </c>
      <c r="C301" s="35">
        <v>0</v>
      </c>
      <c r="D301" s="35">
        <v>0</v>
      </c>
      <c r="E301" s="35">
        <v>0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f t="shared" si="6"/>
        <v>0</v>
      </c>
    </row>
    <row r="302" spans="1:16" s="37" customFormat="1" ht="15" thickBot="1">
      <c r="A302" s="51" t="s">
        <v>601</v>
      </c>
      <c r="B302" s="52" t="s">
        <v>602</v>
      </c>
      <c r="C302" s="35">
        <v>0</v>
      </c>
      <c r="D302" s="35">
        <v>0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f t="shared" si="6"/>
        <v>0</v>
      </c>
    </row>
    <row r="303" spans="1:16" s="37" customFormat="1" ht="15" thickBot="1">
      <c r="A303" s="51" t="s">
        <v>603</v>
      </c>
      <c r="B303" s="52" t="s">
        <v>604</v>
      </c>
      <c r="C303" s="35">
        <v>0</v>
      </c>
      <c r="D303" s="35">
        <v>0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f t="shared" si="6"/>
        <v>0</v>
      </c>
    </row>
    <row r="304" spans="1:16" s="37" customFormat="1" ht="15" thickBot="1">
      <c r="A304" s="51" t="s">
        <v>605</v>
      </c>
      <c r="B304" s="52" t="s">
        <v>606</v>
      </c>
      <c r="C304" s="35">
        <v>0</v>
      </c>
      <c r="D304" s="35">
        <v>0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f t="shared" si="6"/>
        <v>0</v>
      </c>
    </row>
    <row r="305" spans="1:16" s="37" customFormat="1" ht="15" thickBot="1">
      <c r="A305" s="51" t="s">
        <v>607</v>
      </c>
      <c r="B305" s="52" t="s">
        <v>410</v>
      </c>
      <c r="C305" s="35">
        <v>0</v>
      </c>
      <c r="D305" s="35">
        <v>0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f t="shared" si="6"/>
        <v>0</v>
      </c>
    </row>
    <row r="306" spans="1:16" s="37" customFormat="1" ht="15" thickBot="1">
      <c r="A306" s="51" t="s">
        <v>608</v>
      </c>
      <c r="B306" s="52" t="s">
        <v>609</v>
      </c>
      <c r="C306" s="35">
        <v>0</v>
      </c>
      <c r="D306" s="35">
        <v>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f t="shared" si="6"/>
        <v>0</v>
      </c>
    </row>
    <row r="307" spans="1:16" s="37" customFormat="1" ht="15" thickBot="1">
      <c r="A307" s="51" t="s">
        <v>610</v>
      </c>
      <c r="B307" s="51" t="s">
        <v>611</v>
      </c>
      <c r="C307" s="35">
        <v>0</v>
      </c>
      <c r="D307" s="35">
        <v>0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f t="shared" si="6"/>
        <v>0</v>
      </c>
    </row>
    <row r="308" spans="1:16" s="37" customFormat="1" ht="15" thickBot="1">
      <c r="A308" s="51" t="s">
        <v>612</v>
      </c>
      <c r="B308" s="51" t="s">
        <v>613</v>
      </c>
      <c r="C308" s="35">
        <v>0</v>
      </c>
      <c r="D308" s="35">
        <v>0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f t="shared" si="6"/>
        <v>0</v>
      </c>
    </row>
    <row r="309" spans="1:16" s="37" customFormat="1" ht="15" thickBot="1">
      <c r="A309" s="51" t="s">
        <v>614</v>
      </c>
      <c r="B309" s="51" t="s">
        <v>615</v>
      </c>
      <c r="C309" s="35">
        <v>0</v>
      </c>
      <c r="D309" s="35">
        <v>0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f t="shared" si="6"/>
        <v>0</v>
      </c>
    </row>
    <row r="310" spans="1:16" s="37" customFormat="1" ht="15" thickBot="1">
      <c r="A310" s="51" t="s">
        <v>616</v>
      </c>
      <c r="B310" s="52" t="s">
        <v>617</v>
      </c>
      <c r="C310" s="35">
        <v>0</v>
      </c>
      <c r="D310" s="35">
        <v>0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f t="shared" si="6"/>
        <v>0</v>
      </c>
    </row>
    <row r="311" spans="1:16" s="37" customFormat="1" ht="15" thickBot="1">
      <c r="A311" s="51" t="s">
        <v>618</v>
      </c>
      <c r="B311" s="51" t="s">
        <v>619</v>
      </c>
      <c r="C311" s="35">
        <v>0</v>
      </c>
      <c r="D311" s="35">
        <v>0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f t="shared" si="6"/>
        <v>0</v>
      </c>
    </row>
    <row r="312" spans="1:16" s="37" customFormat="1" ht="15" thickBot="1">
      <c r="A312" s="51" t="s">
        <v>620</v>
      </c>
      <c r="B312" s="52" t="s">
        <v>621</v>
      </c>
      <c r="C312" s="35">
        <v>0</v>
      </c>
      <c r="D312" s="35">
        <v>0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f t="shared" si="6"/>
        <v>0</v>
      </c>
    </row>
    <row r="313" spans="1:16" s="37" customFormat="1" ht="15" thickBot="1">
      <c r="A313" s="51" t="s">
        <v>622</v>
      </c>
      <c r="B313" s="52" t="s">
        <v>623</v>
      </c>
      <c r="C313" s="35">
        <v>0</v>
      </c>
      <c r="D313" s="35">
        <v>0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f t="shared" si="6"/>
        <v>0</v>
      </c>
    </row>
    <row r="314" spans="1:16" s="37" customFormat="1" ht="15" thickBot="1">
      <c r="A314" s="51" t="s">
        <v>624</v>
      </c>
      <c r="B314" s="52" t="s">
        <v>625</v>
      </c>
      <c r="C314" s="35">
        <v>1</v>
      </c>
      <c r="D314" s="35">
        <v>1</v>
      </c>
      <c r="E314" s="35">
        <v>1</v>
      </c>
      <c r="F314" s="35">
        <v>1</v>
      </c>
      <c r="G314" s="35">
        <v>1</v>
      </c>
      <c r="H314" s="35">
        <v>1</v>
      </c>
      <c r="I314" s="35">
        <v>1</v>
      </c>
      <c r="J314" s="35">
        <v>1</v>
      </c>
      <c r="K314" s="35">
        <v>1</v>
      </c>
      <c r="L314" s="35">
        <v>1</v>
      </c>
      <c r="M314" s="35">
        <v>1</v>
      </c>
      <c r="N314" s="35">
        <v>1</v>
      </c>
      <c r="O314" s="35">
        <v>1</v>
      </c>
      <c r="P314" s="35">
        <f t="shared" si="6"/>
        <v>13</v>
      </c>
    </row>
    <row r="315" spans="1:16" s="37" customFormat="1" ht="15" thickBot="1">
      <c r="A315" s="51" t="s">
        <v>626</v>
      </c>
      <c r="B315" s="51" t="s">
        <v>627</v>
      </c>
      <c r="C315" s="35">
        <v>0</v>
      </c>
      <c r="D315" s="35">
        <v>0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f t="shared" si="6"/>
        <v>0</v>
      </c>
    </row>
    <row r="316" spans="1:16" s="37" customFormat="1" ht="15" thickBot="1">
      <c r="A316" s="51" t="s">
        <v>628</v>
      </c>
      <c r="B316" s="51" t="s">
        <v>629</v>
      </c>
      <c r="C316" s="35">
        <v>0</v>
      </c>
      <c r="D316" s="35">
        <v>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f t="shared" si="6"/>
        <v>0</v>
      </c>
    </row>
    <row r="317" spans="1:16" s="37" customFormat="1" ht="15" thickBot="1">
      <c r="A317" s="51" t="s">
        <v>630</v>
      </c>
      <c r="B317" s="52" t="s">
        <v>631</v>
      </c>
      <c r="C317" s="35">
        <v>0</v>
      </c>
      <c r="D317" s="35">
        <v>0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f t="shared" si="6"/>
        <v>0</v>
      </c>
    </row>
  </sheetData>
  <mergeCells count="3">
    <mergeCell ref="G5:I5"/>
    <mergeCell ref="C5:D5"/>
    <mergeCell ref="C7:I7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6"/>
  <sheetViews>
    <sheetView zoomScaleNormal="100" workbookViewId="0">
      <pane ySplit="3" topLeftCell="A11" activePane="bottomLeft" state="frozen"/>
      <selection pane="bottomLeft" activeCell="A13" sqref="A4:B13"/>
    </sheetView>
  </sheetViews>
  <sheetFormatPr defaultColWidth="14.42578125" defaultRowHeight="15" customHeight="1"/>
  <cols>
    <col min="1" max="1" width="10.7109375" customWidth="1"/>
    <col min="2" max="2" width="43.140625" customWidth="1"/>
    <col min="3" max="3" width="19" customWidth="1"/>
    <col min="4" max="4" width="20.42578125" customWidth="1"/>
    <col min="5" max="7" width="24.28515625" customWidth="1"/>
    <col min="8" max="8" width="22" customWidth="1"/>
    <col min="9" max="9" width="19.42578125" customWidth="1"/>
    <col min="10" max="10" width="18.140625" customWidth="1"/>
    <col min="11" max="11" width="18.42578125" customWidth="1"/>
    <col min="12" max="12" width="18.7109375" customWidth="1"/>
    <col min="13" max="13" width="20.140625" customWidth="1"/>
    <col min="14" max="14" width="20.7109375" customWidth="1"/>
  </cols>
  <sheetData>
    <row r="1" spans="1:14" ht="37.5" customHeight="1">
      <c r="C1" s="62" t="s">
        <v>632</v>
      </c>
      <c r="D1" s="62"/>
      <c r="E1" s="62"/>
      <c r="F1" s="62"/>
      <c r="G1" s="62"/>
      <c r="H1" s="62"/>
      <c r="N1" s="10"/>
    </row>
    <row r="2" spans="1:14" ht="15" customHeight="1">
      <c r="G2" s="10"/>
    </row>
    <row r="3" spans="1:14" ht="116.1" customHeight="1">
      <c r="A3" s="7"/>
      <c r="B3" s="15" t="s">
        <v>633</v>
      </c>
      <c r="C3" s="53" t="s">
        <v>634</v>
      </c>
      <c r="D3" s="53" t="s">
        <v>635</v>
      </c>
      <c r="E3" s="12" t="s">
        <v>636</v>
      </c>
      <c r="F3" s="12" t="s">
        <v>637</v>
      </c>
      <c r="G3" s="12" t="s">
        <v>638</v>
      </c>
      <c r="H3" s="12" t="s">
        <v>639</v>
      </c>
      <c r="I3" s="12" t="s">
        <v>640</v>
      </c>
      <c r="J3" s="29" t="s">
        <v>641</v>
      </c>
      <c r="K3" s="29" t="s">
        <v>642</v>
      </c>
      <c r="L3" s="29" t="s">
        <v>643</v>
      </c>
      <c r="M3" s="29" t="s">
        <v>644</v>
      </c>
      <c r="N3" s="29" t="s">
        <v>645</v>
      </c>
    </row>
    <row r="4" spans="1:14" ht="55.9">
      <c r="A4" s="55" t="s">
        <v>646</v>
      </c>
      <c r="B4" s="56" t="s">
        <v>647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21">
        <v>1</v>
      </c>
      <c r="I4" s="9">
        <v>1</v>
      </c>
      <c r="J4" s="9">
        <v>1</v>
      </c>
      <c r="K4" s="9">
        <v>0</v>
      </c>
      <c r="L4" s="9">
        <v>1</v>
      </c>
      <c r="M4" s="9">
        <v>1</v>
      </c>
      <c r="N4" s="9">
        <v>1</v>
      </c>
    </row>
    <row r="5" spans="1:14" ht="69.599999999999994">
      <c r="A5" s="55" t="s">
        <v>648</v>
      </c>
      <c r="B5" s="56" t="s">
        <v>649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21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</row>
    <row r="6" spans="1:14" ht="42">
      <c r="A6" s="55" t="s">
        <v>650</v>
      </c>
      <c r="B6" s="56" t="s">
        <v>651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21">
        <v>1</v>
      </c>
      <c r="I6" s="9">
        <v>0</v>
      </c>
      <c r="J6" s="9">
        <v>1</v>
      </c>
      <c r="K6" s="9">
        <v>0</v>
      </c>
      <c r="L6" s="9">
        <v>1</v>
      </c>
      <c r="M6" s="9">
        <v>1</v>
      </c>
      <c r="N6" s="9">
        <v>1</v>
      </c>
    </row>
    <row r="7" spans="1:14" ht="55.9">
      <c r="A7" s="55" t="s">
        <v>652</v>
      </c>
      <c r="B7" s="56" t="s">
        <v>653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21">
        <v>1</v>
      </c>
      <c r="I7" s="9">
        <v>1</v>
      </c>
      <c r="J7" s="9">
        <v>1</v>
      </c>
      <c r="K7" s="9">
        <v>0</v>
      </c>
      <c r="L7" s="9">
        <v>1</v>
      </c>
      <c r="M7" s="9">
        <v>1</v>
      </c>
      <c r="N7" s="9">
        <v>1</v>
      </c>
    </row>
    <row r="8" spans="1:14" ht="69.599999999999994">
      <c r="A8" s="55" t="s">
        <v>654</v>
      </c>
      <c r="B8" s="56" t="s">
        <v>655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21">
        <v>1</v>
      </c>
      <c r="I8" s="9">
        <v>0</v>
      </c>
      <c r="J8" s="9">
        <v>1</v>
      </c>
      <c r="K8" s="9">
        <v>0</v>
      </c>
      <c r="L8" s="9">
        <v>1</v>
      </c>
      <c r="M8" s="9">
        <v>1</v>
      </c>
      <c r="N8" s="9">
        <v>1</v>
      </c>
    </row>
    <row r="9" spans="1:14" ht="69.599999999999994">
      <c r="A9" s="55" t="s">
        <v>656</v>
      </c>
      <c r="B9" s="56" t="s">
        <v>657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21">
        <v>1</v>
      </c>
      <c r="I9" s="9">
        <v>1</v>
      </c>
      <c r="J9" s="9">
        <v>1</v>
      </c>
      <c r="K9" s="9">
        <v>0</v>
      </c>
      <c r="L9" s="9">
        <v>1</v>
      </c>
      <c r="M9" s="9">
        <v>1</v>
      </c>
      <c r="N9" s="9">
        <v>1</v>
      </c>
    </row>
    <row r="10" spans="1:14" ht="69.599999999999994">
      <c r="A10" s="55" t="s">
        <v>658</v>
      </c>
      <c r="B10" s="56" t="s">
        <v>659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21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</row>
    <row r="11" spans="1:14" ht="42">
      <c r="A11" s="55" t="s">
        <v>660</v>
      </c>
      <c r="B11" s="56" t="s">
        <v>661</v>
      </c>
      <c r="C11" s="9">
        <v>1</v>
      </c>
      <c r="D11" s="9">
        <v>1</v>
      </c>
      <c r="E11" s="9">
        <v>1</v>
      </c>
      <c r="F11" s="9">
        <v>0</v>
      </c>
      <c r="G11" s="9">
        <v>1</v>
      </c>
      <c r="H11" s="21">
        <v>1</v>
      </c>
      <c r="I11" s="9">
        <v>1</v>
      </c>
      <c r="J11" s="11">
        <v>1</v>
      </c>
      <c r="K11" s="11">
        <v>0</v>
      </c>
      <c r="L11" s="11">
        <v>1</v>
      </c>
      <c r="M11" s="9">
        <v>1</v>
      </c>
      <c r="N11" s="9">
        <v>1</v>
      </c>
    </row>
    <row r="12" spans="1:14" ht="42">
      <c r="A12" s="55" t="s">
        <v>662</v>
      </c>
      <c r="B12" s="54" t="s">
        <v>663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</row>
    <row r="13" spans="1:14" ht="69.599999999999994">
      <c r="A13" s="55" t="s">
        <v>664</v>
      </c>
      <c r="B13" s="56" t="s">
        <v>665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21">
        <v>1</v>
      </c>
      <c r="I13" s="9">
        <v>1</v>
      </c>
      <c r="J13" s="9">
        <v>1</v>
      </c>
      <c r="K13" s="9">
        <v>0</v>
      </c>
      <c r="L13" s="9">
        <v>1</v>
      </c>
      <c r="M13" s="9">
        <v>1</v>
      </c>
      <c r="N13" s="9">
        <v>1</v>
      </c>
    </row>
    <row r="14" spans="1:14" ht="15.75" customHeight="1">
      <c r="A14" s="5"/>
      <c r="B14" s="6"/>
      <c r="C14" s="2"/>
      <c r="D14" s="2"/>
      <c r="E14" s="2"/>
      <c r="F14" s="2"/>
      <c r="G14" s="2"/>
      <c r="H14" s="4"/>
      <c r="I14" s="2"/>
      <c r="J14" s="2"/>
      <c r="K14" s="2"/>
      <c r="L14" s="2"/>
      <c r="M14" s="2"/>
      <c r="N14" s="2"/>
    </row>
    <row r="15" spans="1:14" ht="15.75" customHeight="1">
      <c r="A15" s="5"/>
      <c r="B15" s="3"/>
      <c r="C15" s="2"/>
      <c r="D15" s="2"/>
      <c r="E15" s="2"/>
      <c r="F15" s="2"/>
      <c r="G15" s="2"/>
      <c r="H15" s="4"/>
      <c r="I15" s="2"/>
      <c r="J15" s="2"/>
      <c r="K15" s="2"/>
      <c r="L15" s="2"/>
      <c r="M15" s="2"/>
      <c r="N15" s="2"/>
    </row>
    <row r="16" spans="1:14" ht="15.75" customHeight="1">
      <c r="A16" s="5"/>
      <c r="B16" s="3"/>
      <c r="C16" s="2"/>
      <c r="D16" s="2"/>
      <c r="E16" s="2"/>
      <c r="F16" s="2"/>
      <c r="G16" s="2"/>
      <c r="H16" s="4"/>
      <c r="I16" s="2"/>
      <c r="J16" s="2"/>
      <c r="K16" s="2"/>
      <c r="L16" s="2"/>
      <c r="M16" s="2"/>
      <c r="N16" s="2"/>
    </row>
    <row r="17" spans="3:14" ht="15.7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3:14" ht="15.7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3:14" ht="15.7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3:14" ht="15.7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3:14" ht="15.7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3:14" ht="15.7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3:14" ht="15.7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3:14" ht="15.7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3:14" ht="15.7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3:14" ht="15.7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3:14" ht="15.7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3:14" ht="15.75" customHeight="1"/>
    <row r="29" spans="3:14" ht="15.75" customHeight="1"/>
    <row r="30" spans="3:14" ht="15.75" customHeight="1"/>
    <row r="31" spans="3:14" ht="15.75" customHeight="1"/>
    <row r="32" spans="3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</sheetData>
  <mergeCells count="1">
    <mergeCell ref="C1:H1"/>
  </mergeCells>
  <phoneticPr fontId="16" type="noConversion"/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5:F27"/>
  <sheetViews>
    <sheetView tabSelected="1" workbookViewId="0">
      <selection activeCell="I6" sqref="I6"/>
    </sheetView>
  </sheetViews>
  <sheetFormatPr defaultColWidth="11.42578125" defaultRowHeight="14.45"/>
  <cols>
    <col min="5" max="5" width="20.85546875" customWidth="1"/>
    <col min="6" max="6" width="23.85546875" customWidth="1"/>
  </cols>
  <sheetData>
    <row r="5" spans="5:6" ht="70.900000000000006">
      <c r="E5" s="16" t="s">
        <v>666</v>
      </c>
      <c r="F5" s="17" t="s">
        <v>667</v>
      </c>
    </row>
    <row r="6" spans="5:6">
      <c r="E6" s="32" t="s">
        <v>668</v>
      </c>
      <c r="F6" s="18" t="s">
        <v>669</v>
      </c>
    </row>
    <row r="7" spans="5:6">
      <c r="E7" s="32" t="s">
        <v>670</v>
      </c>
      <c r="F7" s="18" t="s">
        <v>669</v>
      </c>
    </row>
    <row r="8" spans="5:6">
      <c r="E8" s="32" t="s">
        <v>671</v>
      </c>
      <c r="F8" s="8" t="s">
        <v>672</v>
      </c>
    </row>
    <row r="9" spans="5:6">
      <c r="E9" s="32" t="s">
        <v>673</v>
      </c>
      <c r="F9" s="18" t="s">
        <v>669</v>
      </c>
    </row>
    <row r="10" spans="5:6">
      <c r="E10" s="32" t="s">
        <v>674</v>
      </c>
      <c r="F10" s="8" t="s">
        <v>669</v>
      </c>
    </row>
    <row r="11" spans="5:6">
      <c r="E11" s="32" t="s">
        <v>675</v>
      </c>
      <c r="F11" s="8" t="s">
        <v>669</v>
      </c>
    </row>
    <row r="12" spans="5:6">
      <c r="E12" s="32" t="s">
        <v>676</v>
      </c>
      <c r="F12" s="8" t="s">
        <v>669</v>
      </c>
    </row>
    <row r="13" spans="5:6">
      <c r="E13" s="32" t="s">
        <v>677</v>
      </c>
      <c r="F13" s="8" t="s">
        <v>678</v>
      </c>
    </row>
    <row r="14" spans="5:6" ht="15">
      <c r="E14" s="32" t="s">
        <v>679</v>
      </c>
      <c r="F14" s="8" t="s">
        <v>669</v>
      </c>
    </row>
    <row r="15" spans="5:6">
      <c r="E15" s="8"/>
      <c r="F15" s="8"/>
    </row>
    <row r="16" spans="5:6">
      <c r="E16" s="8"/>
      <c r="F16" s="8"/>
    </row>
    <row r="17" spans="5:6">
      <c r="E17" s="8"/>
      <c r="F17" s="8"/>
    </row>
    <row r="18" spans="5:6">
      <c r="E18" s="8"/>
      <c r="F18" s="8"/>
    </row>
    <row r="19" spans="5:6">
      <c r="E19" s="8"/>
      <c r="F19" s="8"/>
    </row>
    <row r="20" spans="5:6">
      <c r="E20" s="8"/>
      <c r="F20" s="8"/>
    </row>
    <row r="21" spans="5:6">
      <c r="E21" s="8"/>
      <c r="F21" s="8"/>
    </row>
    <row r="22" spans="5:6">
      <c r="E22" s="8"/>
      <c r="F22" s="8"/>
    </row>
    <row r="23" spans="5:6">
      <c r="E23" s="8"/>
      <c r="F23" s="8"/>
    </row>
    <row r="24" spans="5:6">
      <c r="E24" s="8"/>
      <c r="F24" s="8"/>
    </row>
    <row r="25" spans="5:6">
      <c r="E25" s="8"/>
      <c r="F25" s="8"/>
    </row>
    <row r="26" spans="5:6">
      <c r="E26" s="8"/>
      <c r="F26" s="8"/>
    </row>
    <row r="27" spans="5:6">
      <c r="E27" s="8"/>
      <c r="F27" s="8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MOISES ISRAEL AREQUIPA MUNOZ</cp:lastModifiedBy>
  <cp:revision/>
  <dcterms:created xsi:type="dcterms:W3CDTF">2006-09-16T00:00:00Z</dcterms:created>
  <dcterms:modified xsi:type="dcterms:W3CDTF">2026-04-15T15:50:02Z</dcterms:modified>
  <cp:category/>
  <cp:contentStatus/>
</cp:coreProperties>
</file>